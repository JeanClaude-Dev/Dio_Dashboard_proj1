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D:\PESSOAL\JEAN\CURSO_LEARNING_PYTHON_BOOTCAMP\projeto_dashboard\projeto_final\"/>
    </mc:Choice>
  </mc:AlternateContent>
  <xr:revisionPtr revIDLastSave="0" documentId="13_ncr:1_{6A01CA38-6120-44DD-97F9-13A13FFE8070}" xr6:coauthVersionLast="36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Auto_Renewal">#N/A</definedName>
    <definedName name="SegmentaçãodeDados_Plan">#N/A</definedName>
    <definedName name="SegmentaçãodeDados_Subscription_Type">#N/A</definedName>
  </definedNames>
  <calcPr calcId="191029"/>
  <pivotCaches>
    <pivotCache cacheId="2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3" l="1"/>
  <c r="D32" i="3"/>
  <c r="C37" i="3"/>
</calcChain>
</file>

<file path=xl/sharedStrings.xml><?xml version="1.0" encoding="utf-8"?>
<sst xmlns="http://schemas.openxmlformats.org/spreadsheetml/2006/main" count="2025" uniqueCount="331">
  <si>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</si>
  <si>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</si>
  <si>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</si>
  <si>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</si>
  <si>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</si>
  <si>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</si>
  <si>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</si>
  <si>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</si>
  <si>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</si>
  <si>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</si>
  <si>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</si>
  <si>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</si>
  <si>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</si>
  <si>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</si>
  <si>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</si>
  <si>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</si>
  <si>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</si>
  <si>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</si>
  <si>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</si>
  <si>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</si>
  <si>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</si>
  <si>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</si>
  <si>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</si>
  <si>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</si>
  <si>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</si>
  <si>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</si>
  <si>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</si>
  <si>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</si>
  <si>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</si>
  <si>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</si>
  <si>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</si>
  <si>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</si>
  <si>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</si>
  <si>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</si>
  <si>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</si>
  <si>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</si>
  <si>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</si>
  <si>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</si>
  <si>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</si>
  <si>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</si>
  <si>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</si>
  <si>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</si>
  <si>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</si>
  <si>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</si>
  <si>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</si>
  <si>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</si>
  <si>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</si>
  <si>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</si>
  <si>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</si>
  <si>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</si>
  <si>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</si>
  <si>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</si>
  <si>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</si>
  <si>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</si>
  <si>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</si>
  <si>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</si>
  <si>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</si>
  <si>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</si>
  <si>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</si>
  <si>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</si>
  <si>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</si>
  <si>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</si>
  <si>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</si>
  <si>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</si>
  <si>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</si>
  <si>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</si>
  <si>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</si>
  <si>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</si>
  <si>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</si>
  <si>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</si>
  <si>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</si>
  <si>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</si>
  <si>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</si>
  <si>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</si>
  <si>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</si>
  <si>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</si>
  <si>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</si>
  <si>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</si>
  <si>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</si>
  <si>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</si>
  <si>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</si>
  <si>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</si>
  <si>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</si>
  <si>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</si>
  <si>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</si>
  <si>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</si>
  <si>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</si>
  <si>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</si>
  <si>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</si>
  <si>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</si>
  <si>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</si>
  <si>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</si>
  <si>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</si>
  <si>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</si>
  <si>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</si>
  <si>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</si>
  <si>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</si>
  <si>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</si>
  <si>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</si>
  <si>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</si>
  <si>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</si>
  <si>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</si>
  <si>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</si>
  <si>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</si>
  <si>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</si>
  <si>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</si>
  <si>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</si>
  <si>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</si>
  <si>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</si>
  <si>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</si>
  <si>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</si>
  <si>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</si>
  <si>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</si>
  <si>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</si>
  <si>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</si>
  <si>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</si>
  <si>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</si>
  <si>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</si>
  <si>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</si>
  <si>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</si>
  <si>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</si>
  <si>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</si>
  <si>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</si>
  <si>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</si>
  <si>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</si>
  <si>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</si>
  <si>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</si>
  <si>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</si>
  <si>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</si>
  <si>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</si>
  <si>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</si>
  <si>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</si>
  <si>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</si>
  <si>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</si>
  <si>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</si>
  <si>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</si>
  <si>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</si>
  <si>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</si>
  <si>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</si>
  <si>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</si>
  <si>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</si>
  <si>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</si>
  <si>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</si>
  <si>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</si>
  <si>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</si>
  <si>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</si>
  <si>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</si>
  <si>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</si>
  <si>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</si>
  <si>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</si>
  <si>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</si>
  <si>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</si>
  <si>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</si>
  <si>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</si>
  <si>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</si>
  <si>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</si>
  <si>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</si>
  <si>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</si>
  <si>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</si>
  <si>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</si>
  <si>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</si>
  <si>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</si>
  <si>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</si>
  <si>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</si>
  <si>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</si>
  <si>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</si>
  <si>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</si>
  <si>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</si>
  <si>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</si>
  <si>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</si>
  <si>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</si>
  <si>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</si>
  <si>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</si>
  <si>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</si>
  <si>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</si>
  <si>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</si>
  <si>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</si>
  <si>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</si>
  <si>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</si>
  <si>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</si>
  <si>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</si>
  <si>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</si>
  <si>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</si>
  <si>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</si>
  <si>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</si>
  <si>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</si>
  <si>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</si>
  <si>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</si>
  <si>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</si>
  <si>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</si>
  <si>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</si>
  <si>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</si>
  <si>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</si>
  <si>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</si>
  <si>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</si>
  <si>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</si>
  <si>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</si>
  <si>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</si>
  <si>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</si>
  <si>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</si>
  <si>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</si>
  <si>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</si>
  <si>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</si>
  <si>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</si>
  <si>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</si>
  <si>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</si>
  <si>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</si>
  <si>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</si>
  <si>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</si>
  <si>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</si>
  <si>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</si>
  <si>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</si>
  <si>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</si>
  <si>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</si>
  <si>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</si>
  <si>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</si>
  <si>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</si>
  <si>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</si>
  <si>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</si>
  <si>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</si>
  <si>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</si>
  <si>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</si>
  <si>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</si>
  <si>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</si>
  <si>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</si>
  <si>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</si>
  <si>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</si>
  <si>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</si>
  <si>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</si>
  <si>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</si>
  <si>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</si>
  <si>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</si>
  <si>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</si>
  <si>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</si>
  <si>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</si>
  <si>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</si>
  <si>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</si>
  <si>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</si>
  <si>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</si>
  <si>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</si>
  <si>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</si>
  <si>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</si>
  <si>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</si>
  <si>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</si>
  <si>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</si>
  <si>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</si>
  <si>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</si>
  <si>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</si>
  <si>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</si>
  <si>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</si>
  <si>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</si>
  <si>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</si>
  <si>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</si>
  <si>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</si>
  <si>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</si>
  <si>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</si>
  <si>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</si>
  <si>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</si>
  <si>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</si>
  <si>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</si>
  <si>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</si>
  <si>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</si>
  <si>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</si>
  <si>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</si>
  <si>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</si>
  <si>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</si>
  <si>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</si>
  <si>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</si>
  <si>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</si>
  <si>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</si>
  <si>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</si>
  <si>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</si>
  <si>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</si>
  <si>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</si>
  <si>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</si>
  <si>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</si>
  <si>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</si>
  <si>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</si>
  <si>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</si>
  <si>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</si>
  <si>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</si>
  <si>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</si>
  <si>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</si>
  <si>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</si>
  <si>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</si>
  <si>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</si>
  <si>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</si>
  <si>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</si>
  <si>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</si>
  <si>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</si>
  <si>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</si>
  <si>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</si>
  <si>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</si>
  <si>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</si>
  <si>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</si>
  <si>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</si>
  <si>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</si>
  <si>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</si>
  <si>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</si>
  <si>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</si>
  <si>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</si>
  <si>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</si>
  <si>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</si>
  <si>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</si>
  <si>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</si>
  <si>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</si>
  <si>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</si>
  <si>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</si>
  <si>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</si>
  <si>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</si>
  <si>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</si>
  <si>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</si>
  <si>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>Faturamento Total:</t>
    </r>
    <r>
      <rPr>
        <sz val="11"/>
        <color theme="1"/>
        <rFont val="Aptos Narrow"/>
        <family val="2"/>
        <scheme val="minor"/>
      </rPr>
      <t xml:space="preserve"> Qual o valor bruto arrecadado no período?</t>
    </r>
  </si>
  <si>
    <r>
      <t>Mix de Planos:</t>
    </r>
    <r>
      <rPr>
        <sz val="11"/>
        <color theme="1"/>
        <rFont val="Aptos Narrow"/>
        <family val="2"/>
        <scheme val="minor"/>
      </rPr>
      <t xml:space="preserve"> Qual plano (Ultimate, Standard ou Core) é o mais popular e qual gera mais receita?</t>
    </r>
  </si>
  <si>
    <r>
      <t>Conversão de Adicionais:</t>
    </r>
    <r>
      <rPr>
        <sz val="11"/>
        <color theme="1"/>
        <rFont val="Aptos Narrow"/>
        <family val="2"/>
        <scheme val="minor"/>
      </rPr>
      <t xml:space="preserve"> Qual a adesão aos passes de temporada (EA Play e Minecraft)?</t>
    </r>
  </si>
  <si>
    <r>
      <t>Perfil de Assinatura:</t>
    </r>
    <r>
      <rPr>
        <sz val="11"/>
        <color theme="1"/>
        <rFont val="Aptos Narrow"/>
        <family val="2"/>
        <scheme val="minor"/>
      </rPr>
      <t xml:space="preserve"> Qual a preferência de ciclo de pagamento (Mensal, Trimestral ou Anual)?</t>
    </r>
  </si>
  <si>
    <r>
      <t>Impacto de Descontos:</t>
    </r>
    <r>
      <rPr>
        <sz val="11"/>
        <color theme="1"/>
        <rFont val="Aptos Narrow"/>
        <family val="2"/>
        <scheme val="minor"/>
      </rPr>
      <t xml:space="preserve"> Qual o valor total de cupons aplicados e como isso afeta a margem?</t>
    </r>
  </si>
  <si>
    <t>Rótulos de Linha</t>
  </si>
  <si>
    <t>Total Geral</t>
  </si>
  <si>
    <t>Soma de Total Value</t>
  </si>
  <si>
    <t>Tabela 1 (Faturamento por Plano)</t>
  </si>
  <si>
    <t>Tabela 2 (Volume por Tipo de Assinatura)</t>
  </si>
  <si>
    <t>Tabela 3 (Adesão de Season Passes)</t>
  </si>
  <si>
    <t>Contagem de EA Play Season Pass
Price</t>
  </si>
  <si>
    <t>Soma de Minecraft Season Pass Price</t>
  </si>
  <si>
    <t>Tabela 4 (Análise de Cupons)</t>
  </si>
  <si>
    <t>Soma de Coupon Value</t>
  </si>
  <si>
    <t>Soma de ticket %</t>
  </si>
  <si>
    <t xml:space="preserve"> Data Strategy Dashboard - Xbox Service Sales</t>
  </si>
  <si>
    <t>Contagem de Subscriber ID</t>
  </si>
  <si>
    <t>Tabela 5 (percentual por Tipo de Assinatura)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</si>
</sst>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rgb="FF22C55E"/>
      <name val="Segoe UI"/>
      <family val="2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4" fillId="7" borderId="0" xfId="1" applyFont="1" applyFill="1" applyBorder="1" applyAlignment="1">
      <alignment horizontal="center"/>
    </xf>
    <xf numFmtId="0" fontId="5" fillId="0" borderId="0" xfId="0" applyFont="1"/>
  </cellXfs>
  <cellStyles count="3">
    <cellStyle name="Moeda" xfId="2" builtinId="4"/>
    <cellStyle name="Normal" xfId="0" builtinId="0"/>
    <cellStyle name="Título 1" xfId="1" builtinId="16"/>
  </cellStyles>
  <dxfs count="17">
    <dxf>
      <numFmt numFmtId="164" formatCode="&quot;R$&quot;\ #,##0.00"/>
    </dxf>
    <dxf>
      <numFmt numFmtId="164" formatCode="&quot;R$&quot;\ #,##0.00"/>
    </dxf>
    <dxf>
      <numFmt numFmtId="14" formatCode="0.00%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[projeto_dashboard.xlsx]C̳álculos!Tabela dinâmica2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C̳álculos!$D$16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76-4BF7-BD7D-B56BFBA8DA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76-4BF7-BD7D-B56BFBA8DA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76-4BF7-BD7D-B56BFBA8DA5B}"/>
              </c:ext>
            </c:extLst>
          </c:dPt>
          <c:dLbls>
            <c:numFmt formatCode="0.0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C̳álculos!$C$17:$C$20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C̳álculos!$D$17:$D$20</c:f>
              <c:numCache>
                <c:formatCode>General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76-4BF7-BD7D-B56BFBA8D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rgbClr val="22C55E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[projeto_dashboard.xlsx]C̳álculos!Tabela dinâmica3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C̳álculos!$C$24:$C$27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C̳álculos!$D$24:$D$27</c:f>
              <c:numCache>
                <c:formatCode>General</c:formatCode>
                <c:ptCount val="3"/>
                <c:pt idx="0">
                  <c:v>71</c:v>
                </c:pt>
                <c:pt idx="1">
                  <c:v>139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F-4B5E-8011-E7CEEA464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5863200"/>
        <c:axId val="1573882816"/>
      </c:barChart>
      <c:catAx>
        <c:axId val="157586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3882816"/>
        <c:crosses val="autoZero"/>
        <c:auto val="1"/>
        <c:lblAlgn val="ctr"/>
        <c:lblOffset val="100"/>
        <c:noMultiLvlLbl val="0"/>
      </c:catAx>
      <c:valAx>
        <c:axId val="157388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5863200"/>
        <c:crosses val="autoZero"/>
        <c:crossBetween val="between"/>
      </c:valAx>
      <c:spPr>
        <a:noFill/>
        <a:ln>
          <a:solidFill>
            <a:srgbClr val="22C55E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22C55E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[projeto_dashboard.xlsx]C̳álculos!Tabela dinâmica7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C̳álculos!$G$23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AA-44E3-8728-1BC4BAB16F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AA-44E3-8728-1BC4BAB16F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AA-44E3-8728-1BC4BAB16F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C̳álculos!$F$24:$F$27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C̳álculos!$G$24:$G$27</c:f>
              <c:numCache>
                <c:formatCode>0.00%</c:formatCode>
                <c:ptCount val="3"/>
                <c:pt idx="0">
                  <c:v>0.24067796610169492</c:v>
                </c:pt>
                <c:pt idx="1">
                  <c:v>0.47118644067796611</c:v>
                </c:pt>
                <c:pt idx="2">
                  <c:v>0.28813559322033899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AA-44E3-8728-1BC4BAB16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22C55E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[projeto_dashboard.xlsx]C̳álculos!Tabela dinâmica4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900468744685575E-2"/>
          <c:y val="0.19197604355287495"/>
          <c:w val="0.70132409556847819"/>
          <c:h val="0.710380648274032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C̳álculos!$C$30</c:f>
              <c:strCache>
                <c:ptCount val="1"/>
                <c:pt idx="0">
                  <c:v>Contagem de EA Play Season Pass
Price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C̳álculos!$C$31</c:f>
              <c:numCache>
                <c:formatCode>General</c:formatCode>
                <c:ptCount val="1"/>
                <c:pt idx="0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0-4AB5-9768-B94E5998543B}"/>
            </c:ext>
          </c:extLst>
        </c:ser>
        <c:ser>
          <c:idx val="1"/>
          <c:order val="1"/>
          <c:tx>
            <c:strRef>
              <c:f>C̳álculos!$D$30</c:f>
              <c:strCache>
                <c:ptCount val="1"/>
                <c:pt idx="0">
                  <c:v>Soma de Minecraft Season Pass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C̳álculos!$D$31</c:f>
              <c:numCache>
                <c:formatCode>"R$"\ #,##0.00</c:formatCode>
                <c:ptCount val="1"/>
                <c:pt idx="0">
                  <c:v>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0-4AB5-9768-B94E5998543B}"/>
            </c:ext>
          </c:extLst>
        </c:ser>
        <c:ser>
          <c:idx val="2"/>
          <c:order val="2"/>
          <c:tx>
            <c:strRef>
              <c:f>C̳álculos!$E$30</c:f>
              <c:strCache>
                <c:ptCount val="1"/>
                <c:pt idx="0">
                  <c:v>Soma de ticket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C̳álculos!$E$31</c:f>
              <c:numCache>
                <c:formatCode>0.00%</c:formatCode>
                <c:ptCount val="1"/>
                <c:pt idx="0">
                  <c:v>7.6597324663074126E-3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90-4AB5-9768-B94E59985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1314608"/>
        <c:axId val="1579330032"/>
      </c:barChart>
      <c:catAx>
        <c:axId val="16313146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9330032"/>
        <c:crosses val="autoZero"/>
        <c:auto val="1"/>
        <c:lblAlgn val="ctr"/>
        <c:lblOffset val="100"/>
        <c:noMultiLvlLbl val="0"/>
      </c:catAx>
      <c:valAx>
        <c:axId val="157933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31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592600657429007"/>
          <c:y val="0.23542359124626425"/>
          <c:w val="0.25714277461348162"/>
          <c:h val="0.6237633681657341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22C55E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104775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104775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325041</xdr:colOff>
      <xdr:row>7</xdr:row>
      <xdr:rowOff>85725</xdr:rowOff>
    </xdr:from>
    <xdr:to>
      <xdr:col>2</xdr:col>
      <xdr:colOff>636984</xdr:colOff>
      <xdr:row>15</xdr:row>
      <xdr:rowOff>23813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lan">
              <a:extLst>
                <a:ext uri="{FF2B5EF4-FFF2-40B4-BE49-F238E27FC236}">
                  <a16:creationId xmlns:a16="http://schemas.microsoft.com/office/drawing/2014/main" id="{680AE5E5-9815-4FB9-A319-8809D9E94A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5041" y="2085975"/>
              <a:ext cx="2109787" cy="1366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325041</xdr:colOff>
      <xdr:row>24</xdr:row>
      <xdr:rowOff>61913</xdr:rowOff>
    </xdr:from>
    <xdr:to>
      <xdr:col>2</xdr:col>
      <xdr:colOff>636984</xdr:colOff>
      <xdr:row>30</xdr:row>
      <xdr:rowOff>71437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Auto Renewal">
              <a:extLst>
                <a:ext uri="{FF2B5EF4-FFF2-40B4-BE49-F238E27FC236}">
                  <a16:creationId xmlns:a16="http://schemas.microsoft.com/office/drawing/2014/main" id="{5FD5B8BF-DFF4-4526-A90E-0C8DAC16DB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5041" y="5098257"/>
              <a:ext cx="2109787" cy="10810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313134</xdr:colOff>
      <xdr:row>15</xdr:row>
      <xdr:rowOff>166686</xdr:rowOff>
    </xdr:from>
    <xdr:to>
      <xdr:col>2</xdr:col>
      <xdr:colOff>648890</xdr:colOff>
      <xdr:row>23</xdr:row>
      <xdr:rowOff>71437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Subscription Type">
              <a:extLst>
                <a:ext uri="{FF2B5EF4-FFF2-40B4-BE49-F238E27FC236}">
                  <a16:creationId xmlns:a16="http://schemas.microsoft.com/office/drawing/2014/main" id="{94D40311-BD8B-473B-B77C-1EB1D9CCF8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134" y="3595686"/>
              <a:ext cx="2133600" cy="1333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oneCellAnchor>
    <xdr:from>
      <xdr:col>3</xdr:col>
      <xdr:colOff>2119313</xdr:colOff>
      <xdr:row>5</xdr:row>
      <xdr:rowOff>0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BBD68CDD-AB0D-49D3-849A-99C0CF6EDD5A}"/>
            </a:ext>
          </a:extLst>
        </xdr:cNvPr>
        <xdr:cNvSpPr txBox="1"/>
      </xdr:nvSpPr>
      <xdr:spPr>
        <a:xfrm>
          <a:off x="5322094" y="12263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oneCell">
    <xdr:from>
      <xdr:col>0</xdr:col>
      <xdr:colOff>535781</xdr:colOff>
      <xdr:row>1</xdr:row>
      <xdr:rowOff>71438</xdr:rowOff>
    </xdr:from>
    <xdr:to>
      <xdr:col>2</xdr:col>
      <xdr:colOff>390934</xdr:colOff>
      <xdr:row>2</xdr:row>
      <xdr:rowOff>87917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C11333BA-8B9A-462F-8E13-F0C2AA837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781" y="642938"/>
          <a:ext cx="1652997" cy="433198"/>
        </a:xfrm>
        <a:prstGeom prst="rect">
          <a:avLst/>
        </a:prstGeom>
      </xdr:spPr>
    </xdr:pic>
    <xdr:clientData/>
  </xdr:twoCellAnchor>
  <xdr:twoCellAnchor>
    <xdr:from>
      <xdr:col>2</xdr:col>
      <xdr:colOff>1393029</xdr:colOff>
      <xdr:row>7</xdr:row>
      <xdr:rowOff>4766</xdr:rowOff>
    </xdr:from>
    <xdr:to>
      <xdr:col>4</xdr:col>
      <xdr:colOff>690562</xdr:colOff>
      <xdr:row>12</xdr:row>
      <xdr:rowOff>173829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559100A6-D758-4B41-BACF-E0630FCF2DB2}"/>
            </a:ext>
          </a:extLst>
        </xdr:cNvPr>
        <xdr:cNvGrpSpPr/>
      </xdr:nvGrpSpPr>
      <xdr:grpSpPr>
        <a:xfrm>
          <a:off x="3190873" y="1516860"/>
          <a:ext cx="2845595" cy="1062032"/>
          <a:chOff x="3238499" y="1226348"/>
          <a:chExt cx="2619376" cy="1071562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2387CC3D-1828-44B9-9ADC-E816D3F28415}"/>
              </a:ext>
            </a:extLst>
          </xdr:cNvPr>
          <xdr:cNvGrpSpPr/>
        </xdr:nvGrpSpPr>
        <xdr:grpSpPr>
          <a:xfrm>
            <a:off x="3238501" y="1226348"/>
            <a:ext cx="2619374" cy="1071562"/>
            <a:chOff x="2095500" y="1177165"/>
            <a:chExt cx="4655344" cy="1537460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8147A480-8FC7-424E-A8D5-AB3CF9EFCD1E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C71A2F07-5095-4BBF-9813-736F17D37EB8}"/>
                </a:ext>
              </a:extLst>
            </xdr:cNvPr>
            <xdr:cNvSpPr/>
          </xdr:nvSpPr>
          <xdr:spPr>
            <a:xfrm>
              <a:off x="2095500" y="1177165"/>
              <a:ext cx="4655344" cy="498813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Qtde EA Play Season Pass</a:t>
              </a:r>
              <a:endParaRPr lang="pt-BR" sz="1600" b="1"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C̳álculos!$C$32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C8794610-BA0F-4727-9AD0-E9C535DD1A39}"/>
              </a:ext>
            </a:extLst>
          </xdr:cNvPr>
          <xdr:cNvSpPr/>
        </xdr:nvSpPr>
        <xdr:spPr>
          <a:xfrm>
            <a:off x="3238499" y="1524003"/>
            <a:ext cx="2619376" cy="464343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F1877A7D-A7AC-45FF-9D04-B6683855AE80}" type="TxLink">
              <a:rPr lang="en-US" sz="2000" b="1" i="0" u="none" strike="noStrike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295</a:t>
            </a:fld>
            <a:endParaRPr lang="en-US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5</xdr:col>
      <xdr:colOff>305015</xdr:colOff>
      <xdr:row>7</xdr:row>
      <xdr:rowOff>4767</xdr:rowOff>
    </xdr:from>
    <xdr:to>
      <xdr:col>9</xdr:col>
      <xdr:colOff>261720</xdr:colOff>
      <xdr:row>12</xdr:row>
      <xdr:rowOff>173829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E151A5B8-332E-44E3-B45D-43CDE73FD65D}"/>
            </a:ext>
          </a:extLst>
        </xdr:cNvPr>
        <xdr:cNvGrpSpPr/>
      </xdr:nvGrpSpPr>
      <xdr:grpSpPr>
        <a:xfrm>
          <a:off x="6341484" y="1516861"/>
          <a:ext cx="2718955" cy="1062031"/>
          <a:chOff x="3238499" y="1226348"/>
          <a:chExt cx="2619376" cy="1071561"/>
        </a:xfrm>
      </xdr:grpSpPr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AFBF0FB9-FBF9-4AF7-BB6E-7C77A6335F90}"/>
              </a:ext>
            </a:extLst>
          </xdr:cNvPr>
          <xdr:cNvGrpSpPr/>
        </xdr:nvGrpSpPr>
        <xdr:grpSpPr>
          <a:xfrm>
            <a:off x="3238501" y="1226348"/>
            <a:ext cx="2619374" cy="1071561"/>
            <a:chOff x="2095500" y="1177166"/>
            <a:chExt cx="4655344" cy="1537459"/>
          </a:xfrm>
        </xdr:grpSpPr>
        <xdr:sp macro="" textlink="">
          <xdr:nvSpPr>
            <xdr:cNvPr id="30" name="Retângulo: Cantos Arredondados 29">
              <a:extLst>
                <a:ext uri="{FF2B5EF4-FFF2-40B4-BE49-F238E27FC236}">
                  <a16:creationId xmlns:a16="http://schemas.microsoft.com/office/drawing/2014/main" id="{7AAED096-57AD-421E-81C2-5CB0A063F518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31" name="Retângulo: Cantos Superiores Arredondados 30">
              <a:extLst>
                <a:ext uri="{FF2B5EF4-FFF2-40B4-BE49-F238E27FC236}">
                  <a16:creationId xmlns:a16="http://schemas.microsoft.com/office/drawing/2014/main" id="{F79E548A-DBEB-453E-BBE7-171F410D8EC2}"/>
                </a:ext>
              </a:extLst>
            </xdr:cNvPr>
            <xdr:cNvSpPr/>
          </xdr:nvSpPr>
          <xdr:spPr>
            <a:xfrm>
              <a:off x="2095500" y="1177166"/>
              <a:ext cx="4655344" cy="452436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600" b="1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Minecraft Season Pass Price</a:t>
              </a:r>
              <a:endParaRPr lang="pt-BR" sz="1600" b="1"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r>
                <a:rPr lang="pt-BR" sz="1600" b="1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Pass</a:t>
              </a:r>
              <a:endParaRPr lang="pt-BR" sz="1600" b="1"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C̳álculos!$D$32">
        <xdr:nvSpPr>
          <xdr:cNvPr id="29" name="Retângulo: Cantos Arredondados 28">
            <a:extLst>
              <a:ext uri="{FF2B5EF4-FFF2-40B4-BE49-F238E27FC236}">
                <a16:creationId xmlns:a16="http://schemas.microsoft.com/office/drawing/2014/main" id="{8269E409-3482-4813-B643-1E1F81344736}"/>
              </a:ext>
            </a:extLst>
          </xdr:cNvPr>
          <xdr:cNvSpPr/>
        </xdr:nvSpPr>
        <xdr:spPr>
          <a:xfrm>
            <a:off x="3238499" y="1500190"/>
            <a:ext cx="2619376" cy="464343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58D7B8F6-D39F-4F81-86A9-6E4F184E8395}" type="TxLink">
              <a:rPr lang="en-US" sz="2000" b="1" i="0" u="none" strike="noStrike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R$ 3.880,00</a:t>
            </a:fld>
            <a:endParaRPr lang="en-US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566735</xdr:colOff>
      <xdr:row>7</xdr:row>
      <xdr:rowOff>4767</xdr:rowOff>
    </xdr:from>
    <xdr:to>
      <xdr:col>13</xdr:col>
      <xdr:colOff>614361</xdr:colOff>
      <xdr:row>12</xdr:row>
      <xdr:rowOff>173829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074BE26D-7D7F-4F9F-94DE-AB79C02A0236}"/>
            </a:ext>
          </a:extLst>
        </xdr:cNvPr>
        <xdr:cNvGrpSpPr/>
      </xdr:nvGrpSpPr>
      <xdr:grpSpPr>
        <a:xfrm>
          <a:off x="9365454" y="1516861"/>
          <a:ext cx="2619376" cy="1062031"/>
          <a:chOff x="3238499" y="1226348"/>
          <a:chExt cx="2619376" cy="1071561"/>
        </a:xfrm>
      </xdr:grpSpPr>
      <xdr:grpSp>
        <xdr:nvGrpSpPr>
          <xdr:cNvPr id="33" name="Agrupar 32">
            <a:extLst>
              <a:ext uri="{FF2B5EF4-FFF2-40B4-BE49-F238E27FC236}">
                <a16:creationId xmlns:a16="http://schemas.microsoft.com/office/drawing/2014/main" id="{8AB86879-921C-43D6-9089-0275EF052BFC}"/>
              </a:ext>
            </a:extLst>
          </xdr:cNvPr>
          <xdr:cNvGrpSpPr/>
        </xdr:nvGrpSpPr>
        <xdr:grpSpPr>
          <a:xfrm>
            <a:off x="3238501" y="1226348"/>
            <a:ext cx="2619374" cy="1071561"/>
            <a:chOff x="2095500" y="1177166"/>
            <a:chExt cx="4655344" cy="1537459"/>
          </a:xfrm>
        </xdr:grpSpPr>
        <xdr:sp macro="" textlink="">
          <xdr:nvSpPr>
            <xdr:cNvPr id="35" name="Retângulo: Cantos Arredondados 34">
              <a:extLst>
                <a:ext uri="{FF2B5EF4-FFF2-40B4-BE49-F238E27FC236}">
                  <a16:creationId xmlns:a16="http://schemas.microsoft.com/office/drawing/2014/main" id="{AF42921B-B111-49C8-9A91-F9992E9A6EA7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36" name="Retângulo: Cantos Superiores Arredondados 35">
              <a:extLst>
                <a:ext uri="{FF2B5EF4-FFF2-40B4-BE49-F238E27FC236}">
                  <a16:creationId xmlns:a16="http://schemas.microsoft.com/office/drawing/2014/main" id="{5219CFAC-9B83-4037-8B62-5FB9F084657D}"/>
                </a:ext>
              </a:extLst>
            </xdr:cNvPr>
            <xdr:cNvSpPr/>
          </xdr:nvSpPr>
          <xdr:spPr>
            <a:xfrm>
              <a:off x="2095500" y="1177166"/>
              <a:ext cx="4655344" cy="452436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600" b="1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 Coupon Value</a:t>
              </a:r>
              <a:endParaRPr lang="pt-BR" sz="1600" b="1"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endParaRPr lang="pt-BR" sz="1600" b="1"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C̳álculos!$C$37">
        <xdr:nvSpPr>
          <xdr:cNvPr id="34" name="Retângulo: Cantos Arredondados 33">
            <a:extLst>
              <a:ext uri="{FF2B5EF4-FFF2-40B4-BE49-F238E27FC236}">
                <a16:creationId xmlns:a16="http://schemas.microsoft.com/office/drawing/2014/main" id="{38318BA9-5DAC-42D8-BF6C-978E98434CC6}"/>
              </a:ext>
            </a:extLst>
          </xdr:cNvPr>
          <xdr:cNvSpPr/>
        </xdr:nvSpPr>
        <xdr:spPr>
          <a:xfrm>
            <a:off x="3238499" y="1500190"/>
            <a:ext cx="2619376" cy="464343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D59F9B4B-039B-4AAF-BBAE-DED5021FFA98}" type="TxLink">
              <a:rPr lang="en-US" sz="2000" b="1" i="0" u="none" strike="noStrike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R$ 2.122,00</a:t>
            </a:fld>
            <a:endParaRPr lang="en-US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8</xdr:col>
      <xdr:colOff>297657</xdr:colOff>
      <xdr:row>3</xdr:row>
      <xdr:rowOff>0</xdr:rowOff>
    </xdr:from>
    <xdr:to>
      <xdr:col>14</xdr:col>
      <xdr:colOff>35719</xdr:colOff>
      <xdr:row>4</xdr:row>
      <xdr:rowOff>86525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298E9538-4B7F-4248-BE1A-1221FA58BBFE}"/>
            </a:ext>
          </a:extLst>
        </xdr:cNvPr>
        <xdr:cNvSpPr/>
      </xdr:nvSpPr>
      <xdr:spPr>
        <a:xfrm>
          <a:off x="8405813" y="904875"/>
          <a:ext cx="3690937" cy="2174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accent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Period: 01/01/2024 - 31/12/2024 | Update date: 25/12/2024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6</xdr:col>
      <xdr:colOff>0</xdr:colOff>
      <xdr:row>31</xdr:row>
      <xdr:rowOff>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3E767CEC-36F0-439A-AB73-FF749923F020}"/>
            </a:ext>
          </a:extLst>
        </xdr:cNvPr>
        <xdr:cNvGrpSpPr/>
      </xdr:nvGrpSpPr>
      <xdr:grpSpPr>
        <a:xfrm>
          <a:off x="3202781" y="2583656"/>
          <a:ext cx="3524250" cy="3214688"/>
          <a:chOff x="3202781" y="2583656"/>
          <a:chExt cx="3524250" cy="3214688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BE96A7F2-DFF2-4FE7-8B0D-AA610EA5DB9E}"/>
              </a:ext>
            </a:extLst>
          </xdr:cNvPr>
          <xdr:cNvGraphicFramePr>
            <a:graphicFrameLocks/>
          </xdr:cNvGraphicFramePr>
        </xdr:nvGraphicFramePr>
        <xdr:xfrm>
          <a:off x="3202781" y="3119438"/>
          <a:ext cx="3524250" cy="26789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8" name="Retângulo: Cantos Superiores Arredondados 37">
            <a:extLst>
              <a:ext uri="{FF2B5EF4-FFF2-40B4-BE49-F238E27FC236}">
                <a16:creationId xmlns:a16="http://schemas.microsoft.com/office/drawing/2014/main" id="{0B39C507-035F-437D-83E2-056D111A7B7C}"/>
              </a:ext>
            </a:extLst>
          </xdr:cNvPr>
          <xdr:cNvSpPr/>
        </xdr:nvSpPr>
        <xdr:spPr>
          <a:xfrm>
            <a:off x="3202781" y="2583656"/>
            <a:ext cx="3524249" cy="536400"/>
          </a:xfrm>
          <a:prstGeom prst="round2SameRect">
            <a:avLst>
              <a:gd name="adj1" fmla="val 3666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Faturamento por plano</a:t>
            </a:r>
            <a:endParaRPr lang="pt-BR" sz="1600" b="1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8</xdr:col>
      <xdr:colOff>138282</xdr:colOff>
      <xdr:row>13</xdr:row>
      <xdr:rowOff>0</xdr:rowOff>
    </xdr:from>
    <xdr:to>
      <xdr:col>13</xdr:col>
      <xdr:colOff>511969</xdr:colOff>
      <xdr:row>31</xdr:row>
      <xdr:rowOff>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B62CC25F-F904-41EA-B662-B93E0D289EAE}"/>
            </a:ext>
          </a:extLst>
        </xdr:cNvPr>
        <xdr:cNvGrpSpPr/>
      </xdr:nvGrpSpPr>
      <xdr:grpSpPr>
        <a:xfrm>
          <a:off x="8246438" y="2583656"/>
          <a:ext cx="3636000" cy="3214688"/>
          <a:chOff x="7765689" y="2583656"/>
          <a:chExt cx="3636000" cy="3214688"/>
        </a:xfrm>
      </xdr:grpSpPr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E4FDF5DB-37E4-4E9E-919E-9DED5218134A}"/>
              </a:ext>
            </a:extLst>
          </xdr:cNvPr>
          <xdr:cNvGraphicFramePr>
            <a:graphicFrameLocks/>
          </xdr:cNvGraphicFramePr>
        </xdr:nvGraphicFramePr>
        <xdr:xfrm>
          <a:off x="7770469" y="3071813"/>
          <a:ext cx="3600000" cy="272653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9" name="Retângulo: Cantos Superiores Arredondados 38">
            <a:extLst>
              <a:ext uri="{FF2B5EF4-FFF2-40B4-BE49-F238E27FC236}">
                <a16:creationId xmlns:a16="http://schemas.microsoft.com/office/drawing/2014/main" id="{903CF6F1-80FD-488A-93D9-9D20FC8091E9}"/>
              </a:ext>
            </a:extLst>
          </xdr:cNvPr>
          <xdr:cNvSpPr/>
        </xdr:nvSpPr>
        <xdr:spPr>
          <a:xfrm>
            <a:off x="7765689" y="2583656"/>
            <a:ext cx="3636000" cy="535781"/>
          </a:xfrm>
          <a:prstGeom prst="round2SameRect">
            <a:avLst>
              <a:gd name="adj1" fmla="val 3666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Volume por Tipo de Assinatura</a:t>
            </a:r>
            <a:endParaRPr lang="pt-BR" sz="1600" b="1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3</xdr:col>
      <xdr:colOff>0</xdr:colOff>
      <xdr:row>34</xdr:row>
      <xdr:rowOff>0</xdr:rowOff>
    </xdr:from>
    <xdr:to>
      <xdr:col>6</xdr:col>
      <xdr:colOff>111750</xdr:colOff>
      <xdr:row>50</xdr:row>
      <xdr:rowOff>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1A319A8E-3B65-4124-A951-534E1D295047}"/>
            </a:ext>
          </a:extLst>
        </xdr:cNvPr>
        <xdr:cNvGrpSpPr/>
      </xdr:nvGrpSpPr>
      <xdr:grpSpPr>
        <a:xfrm>
          <a:off x="3202781" y="6334125"/>
          <a:ext cx="3636000" cy="2857500"/>
          <a:chOff x="3202781" y="6155531"/>
          <a:chExt cx="3636000" cy="2857500"/>
        </a:xfrm>
      </xdr:grpSpPr>
      <xdr:graphicFrame macro="">
        <xdr:nvGraphicFramePr>
          <xdr:cNvPr id="41" name="Gráfico 40">
            <a:extLst>
              <a:ext uri="{FF2B5EF4-FFF2-40B4-BE49-F238E27FC236}">
                <a16:creationId xmlns:a16="http://schemas.microsoft.com/office/drawing/2014/main" id="{BAFD03D1-B4F4-4974-96F5-9E16DACBD9EC}"/>
              </a:ext>
            </a:extLst>
          </xdr:cNvPr>
          <xdr:cNvGraphicFramePr>
            <a:graphicFrameLocks/>
          </xdr:cNvGraphicFramePr>
        </xdr:nvGraphicFramePr>
        <xdr:xfrm>
          <a:off x="3202781" y="6269831"/>
          <a:ext cx="3607594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42" name="Retângulo: Cantos Superiores Arredondados 41">
            <a:extLst>
              <a:ext uri="{FF2B5EF4-FFF2-40B4-BE49-F238E27FC236}">
                <a16:creationId xmlns:a16="http://schemas.microsoft.com/office/drawing/2014/main" id="{5F6C7D32-A2D6-4341-A627-C5C2FCADD1BA}"/>
              </a:ext>
            </a:extLst>
          </xdr:cNvPr>
          <xdr:cNvSpPr/>
        </xdr:nvSpPr>
        <xdr:spPr>
          <a:xfrm>
            <a:off x="3202781" y="6155531"/>
            <a:ext cx="3636000" cy="535782"/>
          </a:xfrm>
          <a:prstGeom prst="round2SameRect">
            <a:avLst>
              <a:gd name="adj1" fmla="val 3666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Percentual por Tipo de Assinatura</a:t>
            </a:r>
            <a:endParaRPr lang="pt-BR" sz="1600" b="1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6</xdr:col>
      <xdr:colOff>654845</xdr:colOff>
      <xdr:row>33</xdr:row>
      <xdr:rowOff>178593</xdr:rowOff>
    </xdr:from>
    <xdr:to>
      <xdr:col>13</xdr:col>
      <xdr:colOff>511969</xdr:colOff>
      <xdr:row>50</xdr:row>
      <xdr:rowOff>0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6E1A5019-772A-4A19-AC43-5F5CA9275293}"/>
            </a:ext>
          </a:extLst>
        </xdr:cNvPr>
        <xdr:cNvGrpSpPr/>
      </xdr:nvGrpSpPr>
      <xdr:grpSpPr>
        <a:xfrm>
          <a:off x="7381876" y="6334124"/>
          <a:ext cx="4500562" cy="2857501"/>
          <a:chOff x="7417594" y="5976937"/>
          <a:chExt cx="4500562" cy="2857501"/>
        </a:xfrm>
      </xdr:grpSpPr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9229819C-8A9F-43BA-94D0-024390D94FF3}"/>
              </a:ext>
            </a:extLst>
          </xdr:cNvPr>
          <xdr:cNvGraphicFramePr>
            <a:graphicFrameLocks/>
          </xdr:cNvGraphicFramePr>
        </xdr:nvGraphicFramePr>
        <xdr:xfrm>
          <a:off x="7417594" y="6179343"/>
          <a:ext cx="4500562" cy="26550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43" name="Retângulo: Cantos Superiores Arredondados 42">
            <a:extLst>
              <a:ext uri="{FF2B5EF4-FFF2-40B4-BE49-F238E27FC236}">
                <a16:creationId xmlns:a16="http://schemas.microsoft.com/office/drawing/2014/main" id="{32BE6065-076C-48B4-8359-DD1B58FD60FF}"/>
              </a:ext>
            </a:extLst>
          </xdr:cNvPr>
          <xdr:cNvSpPr/>
        </xdr:nvSpPr>
        <xdr:spPr>
          <a:xfrm>
            <a:off x="7417594" y="5976937"/>
            <a:ext cx="4500000" cy="535782"/>
          </a:xfrm>
          <a:prstGeom prst="round2SameRect">
            <a:avLst>
              <a:gd name="adj1" fmla="val 3666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Adesão de Season Passes</a:t>
            </a:r>
            <a:endParaRPr lang="pt-BR" sz="1600" b="1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D-VAIO" refreshedDate="46113.380931250002" createdVersion="6" refreshedVersion="6" minRefreshableVersion="3" recordCount="295" xr:uid="{8E40104B-70E3-4EDC-AD61-063BBA850AA4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ticket %" numFmtId="0" formula="'Total Value'/'Subscriber ID'" databaseField="0"/>
  </cacheFields>
  <extLst>
    <ext xmlns:x14="http://schemas.microsoft.com/office/spreadsheetml/2009/9/main" uri="{725AE2AE-9491-48be-B2B4-4EB974FC3084}">
      <x14:pivotCacheDefinition pivotCacheId="18306846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João Silva"/>
    <x v="0"/>
    <d v="2024-01-01T00:00:00"/>
    <x v="0"/>
    <n v="15"/>
    <x v="0"/>
    <s v="Yes"/>
    <n v="30"/>
    <s v="Yes"/>
    <n v="20"/>
    <n v="5"/>
    <n v="60"/>
  </r>
  <r>
    <x v="1"/>
    <s v="Maria Oliveira"/>
    <x v="1"/>
    <d v="2024-01-15T00:00:00"/>
    <x v="1"/>
    <n v="5"/>
    <x v="1"/>
    <s v="No"/>
    <s v="-"/>
    <s v="No"/>
    <n v="0"/>
    <n v="0"/>
    <n v="5"/>
  </r>
  <r>
    <x v="2"/>
    <s v="Lucas Fernandes"/>
    <x v="2"/>
    <d v="2024-02-10T00:00:00"/>
    <x v="0"/>
    <n v="10"/>
    <x v="2"/>
    <s v="No"/>
    <s v="-"/>
    <s v="Yes"/>
    <n v="20"/>
    <n v="10"/>
    <n v="20"/>
  </r>
  <r>
    <x v="3"/>
    <s v="Ana Souza"/>
    <x v="0"/>
    <d v="2024-02-20T00:00:00"/>
    <x v="1"/>
    <n v="15"/>
    <x v="0"/>
    <s v="Yes"/>
    <n v="30"/>
    <s v="Yes"/>
    <n v="20"/>
    <n v="3"/>
    <n v="62"/>
  </r>
  <r>
    <x v="4"/>
    <s v="Pedro Gonçalves"/>
    <x v="1"/>
    <d v="2024-03-05T00:00:00"/>
    <x v="0"/>
    <n v="5"/>
    <x v="0"/>
    <s v="No"/>
    <s v="-"/>
    <s v="No"/>
    <n v="0"/>
    <n v="1"/>
    <n v="4"/>
  </r>
  <r>
    <x v="5"/>
    <s v="Felipe Costa"/>
    <x v="2"/>
    <d v="2024-03-02T00:00:00"/>
    <x v="1"/>
    <n v="10"/>
    <x v="0"/>
    <s v="No"/>
    <s v="-"/>
    <s v="Yes"/>
    <n v="20"/>
    <n v="2"/>
    <n v="28"/>
  </r>
  <r>
    <x v="6"/>
    <s v="Camila Ribeiro"/>
    <x v="0"/>
    <d v="2024-03-03T00:00:00"/>
    <x v="0"/>
    <n v="15"/>
    <x v="2"/>
    <s v="Yes"/>
    <n v="30"/>
    <s v="Yes"/>
    <n v="20"/>
    <n v="10"/>
    <n v="55"/>
  </r>
  <r>
    <x v="7"/>
    <s v="André Mendes"/>
    <x v="1"/>
    <d v="2024-03-04T00:00:00"/>
    <x v="0"/>
    <n v="5"/>
    <x v="1"/>
    <s v="No"/>
    <s v="-"/>
    <s v="No"/>
    <n v="0"/>
    <n v="0"/>
    <n v="5"/>
  </r>
  <r>
    <x v="8"/>
    <s v="Sofia Almeida"/>
    <x v="0"/>
    <d v="2024-03-05T00:00:00"/>
    <x v="1"/>
    <n v="15"/>
    <x v="0"/>
    <s v="Yes"/>
    <n v="30"/>
    <s v="Yes"/>
    <n v="20"/>
    <n v="5"/>
    <n v="60"/>
  </r>
  <r>
    <x v="9"/>
    <s v="Bruno Martins"/>
    <x v="2"/>
    <d v="2024-03-06T00:00:00"/>
    <x v="0"/>
    <n v="10"/>
    <x v="2"/>
    <s v="No"/>
    <s v="-"/>
    <s v="Yes"/>
    <n v="20"/>
    <n v="15"/>
    <n v="15"/>
  </r>
  <r>
    <x v="10"/>
    <s v="Rita Castro"/>
    <x v="1"/>
    <d v="2024-03-07T00:00:00"/>
    <x v="1"/>
    <n v="5"/>
    <x v="0"/>
    <s v="No"/>
    <s v="-"/>
    <s v="No"/>
    <n v="0"/>
    <n v="1"/>
    <n v="4"/>
  </r>
  <r>
    <x v="11"/>
    <s v="Marco Túlio"/>
    <x v="0"/>
    <d v="2024-03-08T00:00:00"/>
    <x v="0"/>
    <n v="15"/>
    <x v="1"/>
    <s v="Yes"/>
    <n v="30"/>
    <s v="Yes"/>
    <n v="20"/>
    <n v="20"/>
    <n v="45"/>
  </r>
  <r>
    <x v="12"/>
    <s v="Lívia Silveira"/>
    <x v="2"/>
    <d v="2024-03-09T00:00:00"/>
    <x v="1"/>
    <n v="10"/>
    <x v="0"/>
    <s v="No"/>
    <s v="-"/>
    <s v="Yes"/>
    <n v="20"/>
    <n v="10"/>
    <n v="20"/>
  </r>
  <r>
    <x v="13"/>
    <s v="Diogo Sousa"/>
    <x v="1"/>
    <d v="2024-03-10T00:00:00"/>
    <x v="0"/>
    <n v="5"/>
    <x v="2"/>
    <s v="No"/>
    <s v="-"/>
    <s v="No"/>
    <n v="0"/>
    <n v="0"/>
    <n v="5"/>
  </r>
  <r>
    <x v="14"/>
    <s v="Fernanda Lima"/>
    <x v="0"/>
    <d v="2024-03-11T00:00:00"/>
    <x v="1"/>
    <n v="15"/>
    <x v="0"/>
    <s v="Yes"/>
    <n v="30"/>
    <s v="Yes"/>
    <n v="20"/>
    <n v="8"/>
    <n v="57"/>
  </r>
  <r>
    <x v="15"/>
    <s v="Caio Pereira"/>
    <x v="2"/>
    <d v="2024-03-12T00:00:00"/>
    <x v="0"/>
    <n v="10"/>
    <x v="1"/>
    <s v="No"/>
    <s v="-"/>
    <s v="Yes"/>
    <n v="20"/>
    <n v="12"/>
    <n v="18"/>
  </r>
  <r>
    <x v="16"/>
    <s v="Beatriz Gomes"/>
    <x v="1"/>
    <d v="2024-03-13T00:00:00"/>
    <x v="1"/>
    <n v="5"/>
    <x v="0"/>
    <s v="No"/>
    <s v="-"/>
    <s v="No"/>
    <n v="0"/>
    <n v="2"/>
    <n v="3"/>
  </r>
  <r>
    <x v="17"/>
    <s v="Cesar Oliveira"/>
    <x v="0"/>
    <d v="2024-03-14T00:00:00"/>
    <x v="0"/>
    <n v="15"/>
    <x v="2"/>
    <s v="Yes"/>
    <n v="30"/>
    <s v="Yes"/>
    <n v="20"/>
    <n v="7"/>
    <n v="58"/>
  </r>
  <r>
    <x v="18"/>
    <s v="Débora Machado"/>
    <x v="2"/>
    <d v="2024-03-15T00:00:00"/>
    <x v="1"/>
    <n v="10"/>
    <x v="0"/>
    <s v="No"/>
    <s v="-"/>
    <s v="Yes"/>
    <n v="20"/>
    <n v="5"/>
    <n v="25"/>
  </r>
  <r>
    <x v="19"/>
    <s v="Eduardo Vargas"/>
    <x v="1"/>
    <d v="2024-03-16T00:00:00"/>
    <x v="0"/>
    <n v="5"/>
    <x v="1"/>
    <s v="No"/>
    <s v="-"/>
    <s v="No"/>
    <n v="0"/>
    <n v="0"/>
    <n v="5"/>
  </r>
  <r>
    <x v="20"/>
    <s v="Gabriela Santos"/>
    <x v="0"/>
    <d v="2024-03-17T00:00:00"/>
    <x v="1"/>
    <n v="15"/>
    <x v="0"/>
    <s v="Yes"/>
    <n v="30"/>
    <s v="Yes"/>
    <n v="20"/>
    <n v="3"/>
    <n v="62"/>
  </r>
  <r>
    <x v="21"/>
    <s v="Henrique Dias"/>
    <x v="2"/>
    <d v="2024-03-18T00:00:00"/>
    <x v="0"/>
    <n v="10"/>
    <x v="2"/>
    <s v="No"/>
    <s v="-"/>
    <s v="Yes"/>
    <n v="20"/>
    <n v="15"/>
    <n v="15"/>
  </r>
  <r>
    <x v="22"/>
    <s v="Isabela Moreira"/>
    <x v="1"/>
    <d v="2024-03-19T00:00:00"/>
    <x v="1"/>
    <n v="5"/>
    <x v="0"/>
    <s v="No"/>
    <s v="-"/>
    <s v="No"/>
    <n v="0"/>
    <n v="1"/>
    <n v="4"/>
  </r>
  <r>
    <x v="23"/>
    <s v="Joaquim Barbosa"/>
    <x v="0"/>
    <d v="2024-03-20T00:00:00"/>
    <x v="0"/>
    <n v="15"/>
    <x v="1"/>
    <s v="Yes"/>
    <n v="30"/>
    <s v="Yes"/>
    <n v="20"/>
    <n v="20"/>
    <n v="45"/>
  </r>
  <r>
    <x v="24"/>
    <s v="Lara Rocha"/>
    <x v="2"/>
    <d v="2024-03-21T00:00:00"/>
    <x v="1"/>
    <n v="10"/>
    <x v="0"/>
    <s v="No"/>
    <s v="-"/>
    <s v="Yes"/>
    <n v="20"/>
    <n v="10"/>
    <n v="20"/>
  </r>
  <r>
    <x v="25"/>
    <s v="Matheus Silva"/>
    <x v="1"/>
    <d v="2024-03-22T00:00:00"/>
    <x v="0"/>
    <n v="5"/>
    <x v="2"/>
    <s v="No"/>
    <s v="-"/>
    <s v="No"/>
    <n v="0"/>
    <n v="0"/>
    <n v="5"/>
  </r>
  <r>
    <x v="26"/>
    <s v="Nicole Costa"/>
    <x v="0"/>
    <d v="2024-03-23T00:00:00"/>
    <x v="1"/>
    <n v="15"/>
    <x v="0"/>
    <s v="Yes"/>
    <n v="30"/>
    <s v="Yes"/>
    <n v="20"/>
    <n v="5"/>
    <n v="60"/>
  </r>
  <r>
    <x v="27"/>
    <s v="Otávio Mendonça"/>
    <x v="2"/>
    <d v="2024-03-24T00:00:00"/>
    <x v="0"/>
    <n v="10"/>
    <x v="1"/>
    <s v="No"/>
    <s v="-"/>
    <s v="Yes"/>
    <n v="20"/>
    <n v="15"/>
    <n v="15"/>
  </r>
  <r>
    <x v="28"/>
    <s v="Paula Ferreira"/>
    <x v="1"/>
    <d v="2024-03-25T00:00:00"/>
    <x v="1"/>
    <n v="5"/>
    <x v="0"/>
    <s v="No"/>
    <s v="-"/>
    <s v="No"/>
    <n v="0"/>
    <n v="1"/>
    <n v="4"/>
  </r>
  <r>
    <x v="29"/>
    <s v="Raquel Alves"/>
    <x v="0"/>
    <d v="2024-03-26T00:00:00"/>
    <x v="0"/>
    <n v="15"/>
    <x v="2"/>
    <s v="Yes"/>
    <n v="30"/>
    <s v="Yes"/>
    <n v="20"/>
    <n v="7"/>
    <n v="58"/>
  </r>
  <r>
    <x v="30"/>
    <s v="Samuel Pires"/>
    <x v="2"/>
    <d v="2024-03-27T00:00:00"/>
    <x v="1"/>
    <n v="10"/>
    <x v="0"/>
    <s v="No"/>
    <s v="-"/>
    <s v="Yes"/>
    <n v="20"/>
    <n v="10"/>
    <n v="20"/>
  </r>
  <r>
    <x v="31"/>
    <s v="Tânia Barros"/>
    <x v="1"/>
    <d v="2024-03-28T00:00:00"/>
    <x v="0"/>
    <n v="5"/>
    <x v="1"/>
    <s v="No"/>
    <s v="-"/>
    <s v="No"/>
    <n v="0"/>
    <n v="0"/>
    <n v="5"/>
  </r>
  <r>
    <x v="32"/>
    <s v="Vinicius Lima"/>
    <x v="0"/>
    <d v="2024-03-29T00:00:00"/>
    <x v="1"/>
    <n v="15"/>
    <x v="0"/>
    <s v="Yes"/>
    <n v="30"/>
    <s v="Yes"/>
    <n v="20"/>
    <n v="3"/>
    <n v="62"/>
  </r>
  <r>
    <x v="33"/>
    <s v="Yasmin Teixeira"/>
    <x v="2"/>
    <d v="2024-03-30T00:00:00"/>
    <x v="0"/>
    <n v="10"/>
    <x v="2"/>
    <s v="No"/>
    <s v="-"/>
    <s v="Yes"/>
    <n v="20"/>
    <n v="15"/>
    <n v="15"/>
  </r>
  <r>
    <x v="34"/>
    <s v="Zé Carlos"/>
    <x v="1"/>
    <d v="2024-03-31T00:00:00"/>
    <x v="1"/>
    <n v="5"/>
    <x v="0"/>
    <s v="No"/>
    <s v="-"/>
    <s v="No"/>
    <n v="0"/>
    <n v="1"/>
    <n v="4"/>
  </r>
  <r>
    <x v="35"/>
    <s v="Amanda Nogueira"/>
    <x v="1"/>
    <d v="2024-04-01T00:00:00"/>
    <x v="0"/>
    <n v="5"/>
    <x v="0"/>
    <s v="No"/>
    <s v="-"/>
    <s v="No"/>
    <n v="0"/>
    <n v="0"/>
    <n v="5"/>
  </r>
  <r>
    <x v="36"/>
    <s v="Bruno Cavalheiro"/>
    <x v="0"/>
    <d v="2024-04-02T00:00:00"/>
    <x v="1"/>
    <n v="15"/>
    <x v="2"/>
    <s v="Yes"/>
    <n v="30"/>
    <s v="Yes"/>
    <n v="20"/>
    <n v="7"/>
    <n v="58"/>
  </r>
  <r>
    <x v="37"/>
    <s v="Carla Dias"/>
    <x v="2"/>
    <d v="2024-04-03T00:00:00"/>
    <x v="0"/>
    <n v="10"/>
    <x v="1"/>
    <s v="No"/>
    <s v="-"/>
    <s v="Yes"/>
    <n v="20"/>
    <n v="10"/>
    <n v="20"/>
  </r>
  <r>
    <x v="38"/>
    <s v="Diego Fontes"/>
    <x v="1"/>
    <d v="2024-04-04T00:00:00"/>
    <x v="1"/>
    <n v="5"/>
    <x v="2"/>
    <s v="No"/>
    <s v="-"/>
    <s v="No"/>
    <n v="0"/>
    <n v="1"/>
    <n v="4"/>
  </r>
  <r>
    <x v="39"/>
    <s v="Eunice Lima"/>
    <x v="0"/>
    <d v="2024-04-05T00:00:00"/>
    <x v="0"/>
    <n v="15"/>
    <x v="0"/>
    <s v="Yes"/>
    <n v="30"/>
    <s v="Yes"/>
    <n v="20"/>
    <n v="15"/>
    <n v="50"/>
  </r>
  <r>
    <x v="40"/>
    <s v="Fábio Martins"/>
    <x v="2"/>
    <d v="2024-04-06T00:00:00"/>
    <x v="1"/>
    <n v="10"/>
    <x v="0"/>
    <s v="No"/>
    <s v="-"/>
    <s v="Yes"/>
    <n v="20"/>
    <n v="5"/>
    <n v="25"/>
  </r>
  <r>
    <x v="41"/>
    <s v="Gisele Araújo"/>
    <x v="1"/>
    <d v="2024-04-07T00:00:00"/>
    <x v="0"/>
    <n v="5"/>
    <x v="1"/>
    <s v="No"/>
    <s v="-"/>
    <s v="No"/>
    <n v="0"/>
    <n v="0"/>
    <n v="5"/>
  </r>
  <r>
    <x v="42"/>
    <s v="Hélio Castro"/>
    <x v="0"/>
    <d v="2024-04-08T00:00:00"/>
    <x v="1"/>
    <n v="15"/>
    <x v="2"/>
    <s v="Yes"/>
    <n v="30"/>
    <s v="Yes"/>
    <n v="20"/>
    <n v="20"/>
    <n v="45"/>
  </r>
  <r>
    <x v="43"/>
    <s v="Ingrid Menezes"/>
    <x v="2"/>
    <d v="2024-04-09T00:00:00"/>
    <x v="0"/>
    <n v="10"/>
    <x v="2"/>
    <s v="No"/>
    <s v="-"/>
    <s v="Yes"/>
    <n v="20"/>
    <n v="12"/>
    <n v="18"/>
  </r>
  <r>
    <x v="44"/>
    <s v="Jorge Baptista"/>
    <x v="1"/>
    <d v="2024-04-10T00:00:00"/>
    <x v="1"/>
    <n v="5"/>
    <x v="0"/>
    <s v="No"/>
    <s v="-"/>
    <s v="No"/>
    <n v="0"/>
    <n v="2"/>
    <n v="3"/>
  </r>
  <r>
    <x v="45"/>
    <s v="Kléber Oliveira"/>
    <x v="0"/>
    <d v="2024-04-11T00:00:00"/>
    <x v="0"/>
    <n v="15"/>
    <x v="1"/>
    <s v="Yes"/>
    <n v="30"/>
    <s v="Yes"/>
    <n v="20"/>
    <n v="5"/>
    <n v="60"/>
  </r>
  <r>
    <x v="46"/>
    <s v="Luciana Freitas"/>
    <x v="2"/>
    <d v="2024-04-12T00:00:00"/>
    <x v="1"/>
    <n v="10"/>
    <x v="0"/>
    <s v="No"/>
    <s v="-"/>
    <s v="Yes"/>
    <n v="20"/>
    <n v="10"/>
    <n v="20"/>
  </r>
  <r>
    <x v="47"/>
    <s v="Márcia Eller"/>
    <x v="1"/>
    <d v="2024-04-13T00:00:00"/>
    <x v="0"/>
    <n v="5"/>
    <x v="2"/>
    <s v="No"/>
    <s v="-"/>
    <s v="No"/>
    <n v="0"/>
    <n v="0"/>
    <n v="5"/>
  </r>
  <r>
    <x v="48"/>
    <s v="Nilo Peçanha"/>
    <x v="0"/>
    <d v="2024-04-14T00:00:00"/>
    <x v="1"/>
    <n v="15"/>
    <x v="0"/>
    <s v="Yes"/>
    <n v="30"/>
    <s v="Yes"/>
    <n v="20"/>
    <n v="3"/>
    <n v="62"/>
  </r>
  <r>
    <x v="49"/>
    <s v="Oscar Neves"/>
    <x v="2"/>
    <d v="2024-04-15T00:00:00"/>
    <x v="0"/>
    <n v="10"/>
    <x v="1"/>
    <s v="No"/>
    <s v="-"/>
    <s v="Yes"/>
    <n v="20"/>
    <n v="15"/>
    <n v="15"/>
  </r>
  <r>
    <x v="50"/>
    <s v="Patrícia Soares"/>
    <x v="1"/>
    <d v="2024-04-16T00:00:00"/>
    <x v="1"/>
    <n v="5"/>
    <x v="0"/>
    <s v="No"/>
    <s v="-"/>
    <s v="No"/>
    <n v="0"/>
    <n v="1"/>
    <n v="4"/>
  </r>
  <r>
    <x v="51"/>
    <s v="Quirino Gonçalves"/>
    <x v="0"/>
    <d v="2024-04-17T00:00:00"/>
    <x v="0"/>
    <n v="15"/>
    <x v="2"/>
    <s v="Yes"/>
    <n v="30"/>
    <s v="Yes"/>
    <n v="20"/>
    <n v="7"/>
    <n v="58"/>
  </r>
  <r>
    <x v="52"/>
    <s v="Raul Machado"/>
    <x v="2"/>
    <d v="2024-04-18T00:00:00"/>
    <x v="1"/>
    <n v="10"/>
    <x v="0"/>
    <s v="No"/>
    <s v="-"/>
    <s v="Yes"/>
    <n v="20"/>
    <n v="10"/>
    <n v="20"/>
  </r>
  <r>
    <x v="53"/>
    <s v="Sônia Lobo"/>
    <x v="1"/>
    <d v="2024-04-19T00:00:00"/>
    <x v="0"/>
    <n v="5"/>
    <x v="1"/>
    <s v="No"/>
    <s v="-"/>
    <s v="No"/>
    <n v="0"/>
    <n v="0"/>
    <n v="5"/>
  </r>
  <r>
    <x v="54"/>
    <s v="Tiago Ramos"/>
    <x v="0"/>
    <d v="2024-04-20T00:00:00"/>
    <x v="1"/>
    <n v="15"/>
    <x v="0"/>
    <s v="Yes"/>
    <n v="30"/>
    <s v="Yes"/>
    <n v="20"/>
    <n v="20"/>
    <n v="45"/>
  </r>
  <r>
    <x v="55"/>
    <s v="Ugo Pires"/>
    <x v="2"/>
    <d v="2024-04-21T00:00:00"/>
    <x v="0"/>
    <n v="10"/>
    <x v="2"/>
    <s v="No"/>
    <s v="-"/>
    <s v="Yes"/>
    <n v="20"/>
    <n v="15"/>
    <n v="15"/>
  </r>
  <r>
    <x v="56"/>
    <s v="Valéria Nobre"/>
    <x v="1"/>
    <d v="2024-04-22T00:00:00"/>
    <x v="1"/>
    <n v="5"/>
    <x v="0"/>
    <s v="No"/>
    <s v="-"/>
    <s v="No"/>
    <n v="0"/>
    <n v="1"/>
    <n v="4"/>
  </r>
  <r>
    <x v="57"/>
    <s v="William Siqueira"/>
    <x v="0"/>
    <d v="2024-04-23T00:00:00"/>
    <x v="0"/>
    <n v="15"/>
    <x v="1"/>
    <s v="Yes"/>
    <n v="30"/>
    <s v="Yes"/>
    <n v="20"/>
    <n v="3"/>
    <n v="62"/>
  </r>
  <r>
    <x v="58"/>
    <s v="Xuxa Meneghel"/>
    <x v="2"/>
    <d v="2024-04-24T00:00:00"/>
    <x v="1"/>
    <n v="10"/>
    <x v="0"/>
    <s v="No"/>
    <s v="-"/>
    <s v="Yes"/>
    <n v="20"/>
    <n v="10"/>
    <n v="20"/>
  </r>
  <r>
    <x v="59"/>
    <s v="Yara Figueiredo"/>
    <x v="1"/>
    <d v="2024-04-25T00:00:00"/>
    <x v="0"/>
    <n v="5"/>
    <x v="2"/>
    <s v="No"/>
    <s v="-"/>
    <s v="No"/>
    <n v="0"/>
    <n v="0"/>
    <n v="5"/>
  </r>
  <r>
    <x v="60"/>
    <s v="Zacarias Alves"/>
    <x v="0"/>
    <d v="2024-04-26T00:00:00"/>
    <x v="1"/>
    <n v="15"/>
    <x v="0"/>
    <s v="Yes"/>
    <n v="30"/>
    <s v="Yes"/>
    <n v="20"/>
    <n v="5"/>
    <n v="60"/>
  </r>
  <r>
    <x v="61"/>
    <s v="Amanda Bynes"/>
    <x v="2"/>
    <d v="2024-04-27T00:00:00"/>
    <x v="0"/>
    <n v="10"/>
    <x v="1"/>
    <s v="No"/>
    <s v="-"/>
    <s v="Yes"/>
    <n v="20"/>
    <n v="15"/>
    <n v="15"/>
  </r>
  <r>
    <x v="62"/>
    <s v="Bruno Mars"/>
    <x v="1"/>
    <d v="2024-04-28T00:00:00"/>
    <x v="1"/>
    <n v="5"/>
    <x v="0"/>
    <s v="No"/>
    <s v="-"/>
    <s v="No"/>
    <n v="0"/>
    <n v="1"/>
    <n v="4"/>
  </r>
  <r>
    <x v="63"/>
    <s v="Carla Bruni"/>
    <x v="0"/>
    <d v="2024-04-29T00:00:00"/>
    <x v="0"/>
    <n v="15"/>
    <x v="2"/>
    <s v="Yes"/>
    <n v="30"/>
    <s v="Yes"/>
    <n v="20"/>
    <n v="20"/>
    <n v="45"/>
  </r>
  <r>
    <x v="64"/>
    <s v="Diego Maradona"/>
    <x v="2"/>
    <d v="2024-04-30T00:00:00"/>
    <x v="1"/>
    <n v="10"/>
    <x v="0"/>
    <s v="No"/>
    <s v="-"/>
    <s v="Yes"/>
    <n v="20"/>
    <n v="5"/>
    <n v="25"/>
  </r>
  <r>
    <x v="65"/>
    <s v="Estela Marques"/>
    <x v="1"/>
    <d v="2024-05-01T00:00:00"/>
    <x v="1"/>
    <n v="5"/>
    <x v="0"/>
    <s v="No"/>
    <s v="-"/>
    <s v="No"/>
    <n v="0"/>
    <n v="0"/>
    <n v="5"/>
  </r>
  <r>
    <x v="66"/>
    <s v="Fábio Nobre"/>
    <x v="0"/>
    <d v="2024-05-02T00:00:00"/>
    <x v="0"/>
    <n v="15"/>
    <x v="2"/>
    <s v="Yes"/>
    <n v="30"/>
    <s v="Yes"/>
    <n v="20"/>
    <n v="7"/>
    <n v="58"/>
  </r>
  <r>
    <x v="67"/>
    <s v="Gabriel Oliveira"/>
    <x v="2"/>
    <d v="2024-05-03T00:00:00"/>
    <x v="1"/>
    <n v="10"/>
    <x v="1"/>
    <s v="No"/>
    <s v="-"/>
    <s v="Yes"/>
    <n v="20"/>
    <n v="10"/>
    <n v="20"/>
  </r>
  <r>
    <x v="68"/>
    <s v="Helena Santos"/>
    <x v="1"/>
    <d v="2024-05-04T00:00:00"/>
    <x v="0"/>
    <n v="5"/>
    <x v="2"/>
    <s v="No"/>
    <s v="-"/>
    <s v="No"/>
    <n v="0"/>
    <n v="1"/>
    <n v="4"/>
  </r>
  <r>
    <x v="69"/>
    <s v="Ivan Carvalho"/>
    <x v="0"/>
    <d v="2024-05-05T00:00:00"/>
    <x v="1"/>
    <n v="15"/>
    <x v="0"/>
    <s v="Yes"/>
    <n v="30"/>
    <s v="Yes"/>
    <n v="20"/>
    <n v="15"/>
    <n v="50"/>
  </r>
  <r>
    <x v="70"/>
    <s v="Júlia Ferreira"/>
    <x v="2"/>
    <d v="2024-05-06T00:00:00"/>
    <x v="0"/>
    <n v="10"/>
    <x v="0"/>
    <s v="No"/>
    <s v="-"/>
    <s v="Yes"/>
    <n v="20"/>
    <n v="5"/>
    <n v="25"/>
  </r>
  <r>
    <x v="71"/>
    <s v="Karla Alves"/>
    <x v="1"/>
    <d v="2024-05-07T00:00:00"/>
    <x v="1"/>
    <n v="5"/>
    <x v="1"/>
    <s v="No"/>
    <s v="-"/>
    <s v="No"/>
    <n v="0"/>
    <n v="0"/>
    <n v="5"/>
  </r>
  <r>
    <x v="72"/>
    <s v="Lucas Mendes"/>
    <x v="0"/>
    <d v="2024-05-08T00:00:00"/>
    <x v="0"/>
    <n v="15"/>
    <x v="2"/>
    <s v="Yes"/>
    <n v="30"/>
    <s v="Yes"/>
    <n v="20"/>
    <n v="20"/>
    <n v="45"/>
  </r>
  <r>
    <x v="73"/>
    <s v="Mônica Gomes"/>
    <x v="2"/>
    <d v="2024-05-09T00:00:00"/>
    <x v="1"/>
    <n v="10"/>
    <x v="2"/>
    <s v="No"/>
    <s v="-"/>
    <s v="Yes"/>
    <n v="20"/>
    <n v="12"/>
    <n v="18"/>
  </r>
  <r>
    <x v="74"/>
    <s v="Norberto Queiroz"/>
    <x v="1"/>
    <d v="2024-05-10T00:00:00"/>
    <x v="0"/>
    <n v="5"/>
    <x v="0"/>
    <s v="No"/>
    <s v="-"/>
    <s v="No"/>
    <n v="0"/>
    <n v="2"/>
    <n v="3"/>
  </r>
  <r>
    <x v="75"/>
    <s v="Otávio Barros"/>
    <x v="0"/>
    <d v="2024-05-11T00:00:00"/>
    <x v="1"/>
    <n v="15"/>
    <x v="1"/>
    <s v="Yes"/>
    <n v="30"/>
    <s v="Yes"/>
    <n v="20"/>
    <n v="5"/>
    <n v="60"/>
  </r>
  <r>
    <x v="76"/>
    <s v="Paula Vieira"/>
    <x v="2"/>
    <d v="2024-05-12T00:00:00"/>
    <x v="0"/>
    <n v="10"/>
    <x v="0"/>
    <s v="No"/>
    <s v="-"/>
    <s v="Yes"/>
    <n v="20"/>
    <n v="10"/>
    <n v="20"/>
  </r>
  <r>
    <x v="77"/>
    <s v="Quentin Ramos"/>
    <x v="1"/>
    <d v="2024-05-13T00:00:00"/>
    <x v="1"/>
    <n v="5"/>
    <x v="2"/>
    <s v="No"/>
    <s v="-"/>
    <s v="No"/>
    <n v="0"/>
    <n v="0"/>
    <n v="5"/>
  </r>
  <r>
    <x v="78"/>
    <s v="Raquel Novaes"/>
    <x v="0"/>
    <d v="2024-05-14T00:00:00"/>
    <x v="0"/>
    <n v="15"/>
    <x v="0"/>
    <s v="Yes"/>
    <n v="30"/>
    <s v="Yes"/>
    <n v="20"/>
    <n v="3"/>
    <n v="62"/>
  </r>
  <r>
    <x v="79"/>
    <s v="Samantha Lopes"/>
    <x v="2"/>
    <d v="2024-05-15T00:00:00"/>
    <x v="1"/>
    <n v="10"/>
    <x v="1"/>
    <s v="No"/>
    <s v="-"/>
    <s v="Yes"/>
    <n v="20"/>
    <n v="15"/>
    <n v="15"/>
  </r>
  <r>
    <x v="80"/>
    <s v="Tiago Martins"/>
    <x v="1"/>
    <d v="2024-05-16T00:00:00"/>
    <x v="0"/>
    <n v="5"/>
    <x v="0"/>
    <s v="No"/>
    <s v="-"/>
    <s v="No"/>
    <n v="0"/>
    <n v="1"/>
    <n v="4"/>
  </r>
  <r>
    <x v="81"/>
    <s v="Ulysses Guimarães"/>
    <x v="0"/>
    <d v="2024-05-17T00:00:00"/>
    <x v="1"/>
    <n v="15"/>
    <x v="2"/>
    <s v="Yes"/>
    <n v="30"/>
    <s v="Yes"/>
    <n v="20"/>
    <n v="7"/>
    <n v="58"/>
  </r>
  <r>
    <x v="82"/>
    <s v="Vanessa Silva"/>
    <x v="2"/>
    <d v="2024-05-18T00:00:00"/>
    <x v="0"/>
    <n v="10"/>
    <x v="0"/>
    <s v="No"/>
    <s v="-"/>
    <s v="Yes"/>
    <n v="20"/>
    <n v="10"/>
    <n v="20"/>
  </r>
  <r>
    <x v="83"/>
    <s v="William Carneiro"/>
    <x v="1"/>
    <d v="2024-05-19T00:00:00"/>
    <x v="1"/>
    <n v="5"/>
    <x v="1"/>
    <s v="No"/>
    <s v="-"/>
    <s v="No"/>
    <n v="0"/>
    <n v="0"/>
    <n v="5"/>
  </r>
  <r>
    <x v="84"/>
    <s v="Ximena Rocha"/>
    <x v="0"/>
    <d v="2024-05-20T00:00:00"/>
    <x v="0"/>
    <n v="15"/>
    <x v="0"/>
    <s v="Yes"/>
    <n v="30"/>
    <s v="Yes"/>
    <n v="20"/>
    <n v="20"/>
    <n v="45"/>
  </r>
  <r>
    <x v="85"/>
    <s v="Yasmin Figueiredo"/>
    <x v="2"/>
    <d v="2024-05-21T00:00:00"/>
    <x v="1"/>
    <n v="10"/>
    <x v="2"/>
    <s v="No"/>
    <s v="-"/>
    <s v="Yes"/>
    <n v="20"/>
    <n v="15"/>
    <n v="15"/>
  </r>
  <r>
    <x v="86"/>
    <s v="Zara Cunha"/>
    <x v="1"/>
    <d v="2024-05-22T00:00:00"/>
    <x v="0"/>
    <n v="5"/>
    <x v="0"/>
    <s v="No"/>
    <s v="-"/>
    <s v="No"/>
    <n v="0"/>
    <n v="1"/>
    <n v="4"/>
  </r>
  <r>
    <x v="87"/>
    <s v="Alan Teixeira"/>
    <x v="0"/>
    <d v="2024-05-23T00:00:00"/>
    <x v="1"/>
    <n v="15"/>
    <x v="1"/>
    <s v="Yes"/>
    <n v="30"/>
    <s v="Yes"/>
    <n v="20"/>
    <n v="3"/>
    <n v="62"/>
  </r>
  <r>
    <x v="88"/>
    <s v="Bárbara Oliveira"/>
    <x v="2"/>
    <d v="2024-05-24T00:00:00"/>
    <x v="0"/>
    <n v="10"/>
    <x v="0"/>
    <s v="No"/>
    <s v="-"/>
    <s v="Yes"/>
    <n v="20"/>
    <n v="10"/>
    <n v="20"/>
  </r>
  <r>
    <x v="89"/>
    <s v="Carlos Junqueira"/>
    <x v="1"/>
    <d v="2024-05-25T00:00:00"/>
    <x v="1"/>
    <n v="5"/>
    <x v="2"/>
    <s v="No"/>
    <s v="-"/>
    <s v="No"/>
    <n v="0"/>
    <n v="0"/>
    <n v="5"/>
  </r>
  <r>
    <x v="90"/>
    <s v="Daniela Moura"/>
    <x v="0"/>
    <d v="2024-05-26T00:00:00"/>
    <x v="0"/>
    <n v="15"/>
    <x v="0"/>
    <s v="Yes"/>
    <n v="30"/>
    <s v="Yes"/>
    <n v="20"/>
    <n v="5"/>
    <n v="60"/>
  </r>
  <r>
    <x v="91"/>
    <s v="Eduardo Lima"/>
    <x v="2"/>
    <d v="2024-05-27T00:00:00"/>
    <x v="1"/>
    <n v="10"/>
    <x v="1"/>
    <s v="No"/>
    <s v="-"/>
    <s v="Yes"/>
    <n v="20"/>
    <n v="15"/>
    <n v="15"/>
  </r>
  <r>
    <x v="92"/>
    <s v="Fabiana Araújo"/>
    <x v="1"/>
    <d v="2024-05-28T00:00:00"/>
    <x v="0"/>
    <n v="5"/>
    <x v="0"/>
    <s v="No"/>
    <s v="-"/>
    <s v="No"/>
    <n v="0"/>
    <n v="1"/>
    <n v="4"/>
  </r>
  <r>
    <x v="93"/>
    <s v="Geraldo Ribeiro"/>
    <x v="0"/>
    <d v="2024-05-29T00:00:00"/>
    <x v="1"/>
    <n v="15"/>
    <x v="2"/>
    <s v="Yes"/>
    <n v="30"/>
    <s v="Yes"/>
    <n v="20"/>
    <n v="20"/>
    <n v="45"/>
  </r>
  <r>
    <x v="94"/>
    <s v="Héctor Vargas"/>
    <x v="2"/>
    <d v="2024-05-30T00:00:00"/>
    <x v="0"/>
    <n v="10"/>
    <x v="2"/>
    <s v="No"/>
    <s v="-"/>
    <s v="Yes"/>
    <n v="20"/>
    <n v="15"/>
    <n v="15"/>
  </r>
  <r>
    <x v="95"/>
    <s v="Isabela Fonseca"/>
    <x v="1"/>
    <d v="2024-05-31T00:00:00"/>
    <x v="1"/>
    <n v="5"/>
    <x v="1"/>
    <s v="No"/>
    <s v="-"/>
    <s v="No"/>
    <n v="0"/>
    <n v="0"/>
    <n v="5"/>
  </r>
  <r>
    <x v="96"/>
    <s v="João Pedro Almeida"/>
    <x v="0"/>
    <d v="2024-06-01T00:00:00"/>
    <x v="0"/>
    <n v="15"/>
    <x v="0"/>
    <s v="Yes"/>
    <n v="30"/>
    <s v="Yes"/>
    <n v="20"/>
    <n v="7"/>
    <n v="58"/>
  </r>
  <r>
    <x v="97"/>
    <s v="Klara Costa"/>
    <x v="2"/>
    <d v="2024-06-02T00:00:00"/>
    <x v="1"/>
    <n v="10"/>
    <x v="1"/>
    <s v="No"/>
    <s v="-"/>
    <s v="Yes"/>
    <n v="20"/>
    <n v="10"/>
    <n v="20"/>
  </r>
  <r>
    <x v="98"/>
    <s v="Luciana Mendes"/>
    <x v="1"/>
    <d v="2024-06-03T00:00:00"/>
    <x v="0"/>
    <n v="5"/>
    <x v="2"/>
    <s v="No"/>
    <s v="-"/>
    <s v="No"/>
    <n v="0"/>
    <n v="1"/>
    <n v="4"/>
  </r>
  <r>
    <x v="99"/>
    <s v="Marcelo Gouveia"/>
    <x v="0"/>
    <d v="2024-06-04T00:00:00"/>
    <x v="1"/>
    <n v="15"/>
    <x v="0"/>
    <s v="Yes"/>
    <n v="30"/>
    <s v="Yes"/>
    <n v="20"/>
    <n v="15"/>
    <n v="50"/>
  </r>
  <r>
    <x v="100"/>
    <s v="Nívea Borges"/>
    <x v="2"/>
    <d v="2024-06-05T00:00:00"/>
    <x v="0"/>
    <n v="10"/>
    <x v="0"/>
    <s v="No"/>
    <s v="-"/>
    <s v="Yes"/>
    <n v="20"/>
    <n v="5"/>
    <n v="25"/>
  </r>
  <r>
    <x v="101"/>
    <s v="Oscar Nogueira"/>
    <x v="1"/>
    <d v="2024-06-06T00:00:00"/>
    <x v="1"/>
    <n v="5"/>
    <x v="1"/>
    <s v="No"/>
    <s v="-"/>
    <s v="No"/>
    <n v="0"/>
    <n v="0"/>
    <n v="5"/>
  </r>
  <r>
    <x v="102"/>
    <s v="Patrícia Alves"/>
    <x v="0"/>
    <d v="2024-06-07T00:00:00"/>
    <x v="0"/>
    <n v="15"/>
    <x v="2"/>
    <s v="Yes"/>
    <n v="30"/>
    <s v="Yes"/>
    <n v="20"/>
    <n v="20"/>
    <n v="45"/>
  </r>
  <r>
    <x v="103"/>
    <s v="Rafaela Silva"/>
    <x v="2"/>
    <d v="2024-06-08T00:00:00"/>
    <x v="1"/>
    <n v="10"/>
    <x v="2"/>
    <s v="No"/>
    <s v="-"/>
    <s v="Yes"/>
    <n v="20"/>
    <n v="12"/>
    <n v="18"/>
  </r>
  <r>
    <x v="104"/>
    <s v="Samantha Moraes"/>
    <x v="1"/>
    <d v="2024-06-09T00:00:00"/>
    <x v="0"/>
    <n v="5"/>
    <x v="0"/>
    <s v="No"/>
    <s v="-"/>
    <s v="No"/>
    <n v="0"/>
    <n v="2"/>
    <n v="3"/>
  </r>
  <r>
    <x v="105"/>
    <s v="Tatiana Rocha"/>
    <x v="1"/>
    <d v="2024-06-10T00:00:00"/>
    <x v="0"/>
    <n v="5"/>
    <x v="0"/>
    <s v="No"/>
    <s v="-"/>
    <s v="No"/>
    <n v="0"/>
    <n v="0"/>
    <n v="5"/>
  </r>
  <r>
    <x v="106"/>
    <s v="Ulisses Tavares"/>
    <x v="0"/>
    <d v="2024-06-11T00:00:00"/>
    <x v="1"/>
    <n v="15"/>
    <x v="2"/>
    <s v="Yes"/>
    <n v="30"/>
    <s v="Yes"/>
    <n v="20"/>
    <n v="7"/>
    <n v="58"/>
  </r>
  <r>
    <x v="107"/>
    <s v="Víctor Lemos"/>
    <x v="2"/>
    <d v="2024-06-12T00:00:00"/>
    <x v="0"/>
    <n v="10"/>
    <x v="1"/>
    <s v="No"/>
    <s v="-"/>
    <s v="Yes"/>
    <n v="20"/>
    <n v="10"/>
    <n v="20"/>
  </r>
  <r>
    <x v="108"/>
    <s v="Wilma Barros"/>
    <x v="1"/>
    <d v="2024-06-13T00:00:00"/>
    <x v="1"/>
    <n v="5"/>
    <x v="2"/>
    <s v="No"/>
    <s v="-"/>
    <s v="No"/>
    <n v="0"/>
    <n v="1"/>
    <n v="4"/>
  </r>
  <r>
    <x v="109"/>
    <s v="Xavier Nascimento"/>
    <x v="0"/>
    <d v="2024-06-14T00:00:00"/>
    <x v="0"/>
    <n v="15"/>
    <x v="0"/>
    <s v="Yes"/>
    <n v="30"/>
    <s v="Yes"/>
    <n v="20"/>
    <n v="15"/>
    <n v="50"/>
  </r>
  <r>
    <x v="110"/>
    <s v="Yago Pereira"/>
    <x v="2"/>
    <d v="2024-06-15T00:00:00"/>
    <x v="1"/>
    <n v="10"/>
    <x v="0"/>
    <s v="No"/>
    <s v="-"/>
    <s v="Yes"/>
    <n v="20"/>
    <n v="5"/>
    <n v="25"/>
  </r>
  <r>
    <x v="111"/>
    <s v="Zilda Ferreira"/>
    <x v="1"/>
    <d v="2024-06-16T00:00:00"/>
    <x v="0"/>
    <n v="5"/>
    <x v="1"/>
    <s v="No"/>
    <s v="-"/>
    <s v="No"/>
    <n v="0"/>
    <n v="0"/>
    <n v="5"/>
  </r>
  <r>
    <x v="112"/>
    <s v="Amanda Lopes"/>
    <x v="0"/>
    <d v="2024-06-17T00:00:00"/>
    <x v="1"/>
    <n v="15"/>
    <x v="2"/>
    <s v="Yes"/>
    <n v="30"/>
    <s v="Yes"/>
    <n v="20"/>
    <n v="20"/>
    <n v="45"/>
  </r>
  <r>
    <x v="113"/>
    <s v="Bruno Miranda"/>
    <x v="2"/>
    <d v="2024-06-18T00:00:00"/>
    <x v="0"/>
    <n v="10"/>
    <x v="2"/>
    <s v="No"/>
    <s v="-"/>
    <s v="Yes"/>
    <n v="20"/>
    <n v="12"/>
    <n v="18"/>
  </r>
  <r>
    <x v="114"/>
    <s v="Célia Torres"/>
    <x v="1"/>
    <d v="2024-06-19T00:00:00"/>
    <x v="1"/>
    <n v="5"/>
    <x v="0"/>
    <s v="No"/>
    <s v="-"/>
    <s v="No"/>
    <n v="0"/>
    <n v="2"/>
    <n v="3"/>
  </r>
  <r>
    <x v="115"/>
    <s v="Diogo Souza"/>
    <x v="0"/>
    <d v="2024-06-20T00:00:00"/>
    <x v="0"/>
    <n v="15"/>
    <x v="1"/>
    <s v="Yes"/>
    <n v="30"/>
    <s v="Yes"/>
    <n v="20"/>
    <n v="5"/>
    <n v="60"/>
  </r>
  <r>
    <x v="116"/>
    <s v="Elisa Castro"/>
    <x v="2"/>
    <d v="2024-06-21T00:00:00"/>
    <x v="1"/>
    <n v="10"/>
    <x v="0"/>
    <s v="No"/>
    <s v="-"/>
    <s v="Yes"/>
    <n v="20"/>
    <n v="10"/>
    <n v="20"/>
  </r>
  <r>
    <x v="117"/>
    <s v="Fátima Lima"/>
    <x v="1"/>
    <d v="2024-06-22T00:00:00"/>
    <x v="0"/>
    <n v="5"/>
    <x v="2"/>
    <s v="No"/>
    <s v="-"/>
    <s v="No"/>
    <n v="0"/>
    <n v="0"/>
    <n v="5"/>
  </r>
  <r>
    <x v="118"/>
    <s v="Geraldo Ribeiro"/>
    <x v="0"/>
    <d v="2024-06-23T00:00:00"/>
    <x v="1"/>
    <n v="15"/>
    <x v="0"/>
    <s v="Yes"/>
    <n v="30"/>
    <s v="Yes"/>
    <n v="20"/>
    <n v="3"/>
    <n v="62"/>
  </r>
  <r>
    <x v="119"/>
    <s v="Hélio Martins"/>
    <x v="2"/>
    <d v="2024-06-24T00:00:00"/>
    <x v="0"/>
    <n v="10"/>
    <x v="1"/>
    <s v="No"/>
    <s v="-"/>
    <s v="Yes"/>
    <n v="20"/>
    <n v="15"/>
    <n v="15"/>
  </r>
  <r>
    <x v="120"/>
    <s v="Íris Santos"/>
    <x v="1"/>
    <d v="2024-06-25T00:00:00"/>
    <x v="1"/>
    <n v="5"/>
    <x v="0"/>
    <s v="No"/>
    <s v="-"/>
    <s v="No"/>
    <n v="0"/>
    <n v="1"/>
    <n v="4"/>
  </r>
  <r>
    <x v="121"/>
    <s v="João Marcelo"/>
    <x v="0"/>
    <d v="2024-06-26T00:00:00"/>
    <x v="0"/>
    <n v="15"/>
    <x v="2"/>
    <s v="Yes"/>
    <n v="30"/>
    <s v="Yes"/>
    <n v="20"/>
    <n v="7"/>
    <n v="58"/>
  </r>
  <r>
    <x v="122"/>
    <s v="Larissa Gomes"/>
    <x v="2"/>
    <d v="2024-06-27T00:00:00"/>
    <x v="1"/>
    <n v="10"/>
    <x v="0"/>
    <s v="No"/>
    <s v="-"/>
    <s v="Yes"/>
    <n v="20"/>
    <n v="10"/>
    <n v="20"/>
  </r>
  <r>
    <x v="123"/>
    <s v="Márcio Silva"/>
    <x v="1"/>
    <d v="2024-06-28T00:00:00"/>
    <x v="0"/>
    <n v="5"/>
    <x v="1"/>
    <s v="No"/>
    <s v="-"/>
    <s v="No"/>
    <n v="0"/>
    <n v="0"/>
    <n v="5"/>
  </r>
  <r>
    <x v="124"/>
    <s v="Nadia Costa"/>
    <x v="0"/>
    <d v="2024-06-29T00:00:00"/>
    <x v="1"/>
    <n v="15"/>
    <x v="0"/>
    <s v="Yes"/>
    <n v="30"/>
    <s v="Yes"/>
    <n v="20"/>
    <n v="20"/>
    <n v="45"/>
  </r>
  <r>
    <x v="125"/>
    <s v="Oscar Almeida"/>
    <x v="2"/>
    <d v="2024-06-30T00:00:00"/>
    <x v="0"/>
    <n v="10"/>
    <x v="2"/>
    <s v="No"/>
    <s v="-"/>
    <s v="Yes"/>
    <n v="20"/>
    <n v="15"/>
    <n v="15"/>
  </r>
  <r>
    <x v="126"/>
    <s v="Patricia Soares"/>
    <x v="1"/>
    <d v="2024-07-01T00:00:00"/>
    <x v="1"/>
    <n v="5"/>
    <x v="0"/>
    <s v="No"/>
    <s v="-"/>
    <s v="No"/>
    <n v="0"/>
    <n v="1"/>
    <n v="4"/>
  </r>
  <r>
    <x v="127"/>
    <s v="Quênia Barros"/>
    <x v="0"/>
    <d v="2024-07-02T00:00:00"/>
    <x v="0"/>
    <n v="15"/>
    <x v="1"/>
    <s v="Yes"/>
    <n v="30"/>
    <s v="Yes"/>
    <n v="20"/>
    <n v="3"/>
    <n v="62"/>
  </r>
  <r>
    <x v="128"/>
    <s v="Rafael Torres"/>
    <x v="2"/>
    <d v="2024-07-03T00:00:00"/>
    <x v="1"/>
    <n v="10"/>
    <x v="0"/>
    <s v="No"/>
    <s v="-"/>
    <s v="Yes"/>
    <n v="20"/>
    <n v="10"/>
    <n v="20"/>
  </r>
  <r>
    <x v="129"/>
    <s v="Silvia Nascimento"/>
    <x v="1"/>
    <d v="2024-07-04T00:00:00"/>
    <x v="0"/>
    <n v="5"/>
    <x v="2"/>
    <s v="No"/>
    <s v="-"/>
    <s v="No"/>
    <n v="0"/>
    <n v="0"/>
    <n v="5"/>
  </r>
  <r>
    <x v="130"/>
    <s v="Tiago Mendes"/>
    <x v="0"/>
    <d v="2024-07-05T00:00:00"/>
    <x v="1"/>
    <n v="15"/>
    <x v="0"/>
    <s v="Yes"/>
    <n v="30"/>
    <s v="Yes"/>
    <n v="20"/>
    <n v="15"/>
    <n v="50"/>
  </r>
  <r>
    <x v="131"/>
    <s v="Ursula Silva"/>
    <x v="2"/>
    <d v="2024-07-06T00:00:00"/>
    <x v="0"/>
    <n v="10"/>
    <x v="1"/>
    <s v="No"/>
    <s v="-"/>
    <s v="Yes"/>
    <n v="20"/>
    <n v="15"/>
    <n v="15"/>
  </r>
  <r>
    <x v="132"/>
    <s v="Vanessa Moraes"/>
    <x v="1"/>
    <d v="2024-07-07T00:00:00"/>
    <x v="1"/>
    <n v="5"/>
    <x v="0"/>
    <s v="No"/>
    <s v="-"/>
    <s v="No"/>
    <n v="0"/>
    <n v="1"/>
    <n v="4"/>
  </r>
  <r>
    <x v="133"/>
    <s v="Waldir Junior"/>
    <x v="0"/>
    <d v="2024-07-08T00:00:00"/>
    <x v="0"/>
    <n v="15"/>
    <x v="2"/>
    <s v="Yes"/>
    <n v="30"/>
    <s v="Yes"/>
    <n v="20"/>
    <n v="7"/>
    <n v="58"/>
  </r>
  <r>
    <x v="134"/>
    <s v="Xavier Lopes"/>
    <x v="2"/>
    <d v="2024-07-09T00:00:00"/>
    <x v="1"/>
    <n v="10"/>
    <x v="0"/>
    <s v="No"/>
    <s v="-"/>
    <s v="Yes"/>
    <n v="20"/>
    <n v="10"/>
    <n v="20"/>
  </r>
  <r>
    <x v="135"/>
    <s v="Yolanda Freitas"/>
    <x v="1"/>
    <d v="2024-07-10T00:00:00"/>
    <x v="0"/>
    <n v="5"/>
    <x v="0"/>
    <s v="No"/>
    <s v="-"/>
    <s v="No"/>
    <n v="0"/>
    <n v="0"/>
    <n v="5"/>
  </r>
  <r>
    <x v="136"/>
    <s v="Zacarias Nunes"/>
    <x v="0"/>
    <d v="2024-07-11T00:00:00"/>
    <x v="1"/>
    <n v="15"/>
    <x v="2"/>
    <s v="Yes"/>
    <n v="30"/>
    <s v="Yes"/>
    <n v="20"/>
    <n v="7"/>
    <n v="58"/>
  </r>
  <r>
    <x v="137"/>
    <s v="Ana Clara Barreto"/>
    <x v="2"/>
    <d v="2024-07-12T00:00:00"/>
    <x v="0"/>
    <n v="10"/>
    <x v="1"/>
    <s v="No"/>
    <s v="-"/>
    <s v="Yes"/>
    <n v="20"/>
    <n v="10"/>
    <n v="20"/>
  </r>
  <r>
    <x v="138"/>
    <s v="Bruno Henrique"/>
    <x v="1"/>
    <d v="2024-07-13T00:00:00"/>
    <x v="1"/>
    <n v="5"/>
    <x v="2"/>
    <s v="No"/>
    <s v="-"/>
    <s v="No"/>
    <n v="0"/>
    <n v="1"/>
    <n v="4"/>
  </r>
  <r>
    <x v="139"/>
    <s v="Carlos Eduardo"/>
    <x v="0"/>
    <d v="2024-07-14T00:00:00"/>
    <x v="0"/>
    <n v="15"/>
    <x v="0"/>
    <s v="Yes"/>
    <n v="30"/>
    <s v="Yes"/>
    <n v="20"/>
    <n v="15"/>
    <n v="50"/>
  </r>
  <r>
    <x v="140"/>
    <s v="Débora Lima"/>
    <x v="2"/>
    <d v="2024-07-15T00:00:00"/>
    <x v="1"/>
    <n v="10"/>
    <x v="0"/>
    <s v="No"/>
    <s v="-"/>
    <s v="Yes"/>
    <n v="20"/>
    <n v="5"/>
    <n v="25"/>
  </r>
  <r>
    <x v="141"/>
    <s v="Elisa Neves"/>
    <x v="1"/>
    <d v="2024-07-16T00:00:00"/>
    <x v="0"/>
    <n v="5"/>
    <x v="1"/>
    <s v="No"/>
    <s v="-"/>
    <s v="No"/>
    <n v="0"/>
    <n v="0"/>
    <n v="5"/>
  </r>
  <r>
    <x v="142"/>
    <s v="Fabiano Gomes"/>
    <x v="0"/>
    <d v="2024-07-17T00:00:00"/>
    <x v="1"/>
    <n v="15"/>
    <x v="2"/>
    <s v="Yes"/>
    <n v="30"/>
    <s v="Yes"/>
    <n v="20"/>
    <n v="20"/>
    <n v="45"/>
  </r>
  <r>
    <x v="143"/>
    <s v="Gisele Oliveira"/>
    <x v="2"/>
    <d v="2024-07-18T00:00:00"/>
    <x v="0"/>
    <n v="10"/>
    <x v="2"/>
    <s v="No"/>
    <s v="-"/>
    <s v="Yes"/>
    <n v="20"/>
    <n v="12"/>
    <n v="18"/>
  </r>
  <r>
    <x v="144"/>
    <s v="Héctor Silva"/>
    <x v="1"/>
    <d v="2024-07-19T00:00:00"/>
    <x v="1"/>
    <n v="5"/>
    <x v="0"/>
    <s v="No"/>
    <s v="-"/>
    <s v="No"/>
    <n v="0"/>
    <n v="2"/>
    <n v="3"/>
  </r>
  <r>
    <x v="145"/>
    <s v="Igor Martins"/>
    <x v="0"/>
    <d v="2024-07-20T00:00:00"/>
    <x v="0"/>
    <n v="15"/>
    <x v="1"/>
    <s v="Yes"/>
    <n v="30"/>
    <s v="Yes"/>
    <n v="20"/>
    <n v="5"/>
    <n v="60"/>
  </r>
  <r>
    <x v="146"/>
    <s v="Joana Figueiredo"/>
    <x v="2"/>
    <d v="2024-07-21T00:00:00"/>
    <x v="1"/>
    <n v="10"/>
    <x v="0"/>
    <s v="No"/>
    <s v="-"/>
    <s v="Yes"/>
    <n v="20"/>
    <n v="10"/>
    <n v="20"/>
  </r>
  <r>
    <x v="147"/>
    <s v="Kleber Machado"/>
    <x v="1"/>
    <d v="2024-07-22T00:00:00"/>
    <x v="0"/>
    <n v="5"/>
    <x v="2"/>
    <s v="No"/>
    <s v="-"/>
    <s v="No"/>
    <n v="0"/>
    <n v="0"/>
    <n v="5"/>
  </r>
  <r>
    <x v="148"/>
    <s v="Luciana Santos"/>
    <x v="0"/>
    <d v="2024-07-23T00:00:00"/>
    <x v="1"/>
    <n v="15"/>
    <x v="0"/>
    <s v="Yes"/>
    <n v="30"/>
    <s v="Yes"/>
    <n v="20"/>
    <n v="3"/>
    <n v="62"/>
  </r>
  <r>
    <x v="149"/>
    <s v="Marcos Teixeira"/>
    <x v="2"/>
    <d v="2024-07-24T00:00:00"/>
    <x v="0"/>
    <n v="10"/>
    <x v="1"/>
    <s v="No"/>
    <s v="-"/>
    <s v="Yes"/>
    <n v="20"/>
    <n v="15"/>
    <n v="15"/>
  </r>
  <r>
    <x v="150"/>
    <s v="Natalia Costa"/>
    <x v="1"/>
    <d v="2024-07-25T00:00:00"/>
    <x v="1"/>
    <n v="5"/>
    <x v="0"/>
    <s v="No"/>
    <s v="-"/>
    <s v="No"/>
    <n v="0"/>
    <n v="1"/>
    <n v="4"/>
  </r>
  <r>
    <x v="151"/>
    <s v="Oscar Ribeiro"/>
    <x v="0"/>
    <d v="2024-07-26T00:00:00"/>
    <x v="0"/>
    <n v="15"/>
    <x v="2"/>
    <s v="Yes"/>
    <n v="30"/>
    <s v="Yes"/>
    <n v="20"/>
    <n v="7"/>
    <n v="58"/>
  </r>
  <r>
    <x v="152"/>
    <s v="Patricia Almeida"/>
    <x v="2"/>
    <d v="2024-07-27T00:00:00"/>
    <x v="1"/>
    <n v="10"/>
    <x v="0"/>
    <s v="No"/>
    <s v="-"/>
    <s v="Yes"/>
    <n v="20"/>
    <n v="10"/>
    <n v="20"/>
  </r>
  <r>
    <x v="153"/>
    <s v="Quirino Junior"/>
    <x v="1"/>
    <d v="2024-07-28T00:00:00"/>
    <x v="0"/>
    <n v="5"/>
    <x v="1"/>
    <s v="No"/>
    <s v="-"/>
    <s v="No"/>
    <n v="0"/>
    <n v="0"/>
    <n v="5"/>
  </r>
  <r>
    <x v="154"/>
    <s v="Renata Machado"/>
    <x v="0"/>
    <d v="2024-07-29T00:00:00"/>
    <x v="1"/>
    <n v="15"/>
    <x v="0"/>
    <s v="Yes"/>
    <n v="30"/>
    <s v="Yes"/>
    <n v="20"/>
    <n v="20"/>
    <n v="45"/>
  </r>
  <r>
    <x v="155"/>
    <s v="Sônia Alves"/>
    <x v="2"/>
    <d v="2024-07-30T00:00:00"/>
    <x v="0"/>
    <n v="10"/>
    <x v="2"/>
    <s v="No"/>
    <s v="-"/>
    <s v="Yes"/>
    <n v="20"/>
    <n v="15"/>
    <n v="15"/>
  </r>
  <r>
    <x v="156"/>
    <s v="Tiago Nunes"/>
    <x v="1"/>
    <d v="2024-07-31T00:00:00"/>
    <x v="1"/>
    <n v="5"/>
    <x v="0"/>
    <s v="No"/>
    <s v="-"/>
    <s v="No"/>
    <n v="0"/>
    <n v="1"/>
    <n v="4"/>
  </r>
  <r>
    <x v="157"/>
    <s v="Ulysses Pereira"/>
    <x v="0"/>
    <d v="2024-08-01T00:00:00"/>
    <x v="0"/>
    <n v="15"/>
    <x v="1"/>
    <s v="Yes"/>
    <n v="30"/>
    <s v="Yes"/>
    <n v="20"/>
    <n v="3"/>
    <n v="62"/>
  </r>
  <r>
    <x v="158"/>
    <s v="Vanessa Lima"/>
    <x v="2"/>
    <d v="2024-08-02T00:00:00"/>
    <x v="1"/>
    <n v="10"/>
    <x v="0"/>
    <s v="No"/>
    <s v="-"/>
    <s v="Yes"/>
    <n v="20"/>
    <n v="10"/>
    <n v="20"/>
  </r>
  <r>
    <x v="159"/>
    <s v="Wagner Santos"/>
    <x v="1"/>
    <d v="2024-08-03T00:00:00"/>
    <x v="0"/>
    <n v="5"/>
    <x v="2"/>
    <s v="No"/>
    <s v="-"/>
    <s v="No"/>
    <n v="0"/>
    <n v="0"/>
    <n v="5"/>
  </r>
  <r>
    <x v="160"/>
    <s v="Xuxa Meneghel"/>
    <x v="0"/>
    <d v="2024-08-04T00:00:00"/>
    <x v="1"/>
    <n v="15"/>
    <x v="0"/>
    <s v="Yes"/>
    <n v="30"/>
    <s v="Yes"/>
    <n v="20"/>
    <n v="15"/>
    <n v="50"/>
  </r>
  <r>
    <x v="161"/>
    <s v="Yasmin Silva"/>
    <x v="2"/>
    <d v="2024-08-05T00:00:00"/>
    <x v="0"/>
    <n v="10"/>
    <x v="1"/>
    <s v="No"/>
    <s v="-"/>
    <s v="Yes"/>
    <n v="20"/>
    <n v="15"/>
    <n v="15"/>
  </r>
  <r>
    <x v="162"/>
    <s v="Zacarias de Souza"/>
    <x v="1"/>
    <d v="2024-08-06T00:00:00"/>
    <x v="1"/>
    <n v="5"/>
    <x v="0"/>
    <s v="No"/>
    <s v="-"/>
    <s v="No"/>
    <n v="0"/>
    <n v="1"/>
    <n v="4"/>
  </r>
  <r>
    <x v="163"/>
    <s v="André Lima"/>
    <x v="0"/>
    <d v="2024-08-07T00:00:00"/>
    <x v="0"/>
    <n v="15"/>
    <x v="2"/>
    <s v="Yes"/>
    <n v="30"/>
    <s v="Yes"/>
    <n v="20"/>
    <n v="7"/>
    <n v="58"/>
  </r>
  <r>
    <x v="164"/>
    <s v="Bianca Freitas"/>
    <x v="2"/>
    <d v="2024-08-08T00:00:00"/>
    <x v="1"/>
    <n v="10"/>
    <x v="0"/>
    <s v="No"/>
    <s v="-"/>
    <s v="Yes"/>
    <n v="20"/>
    <n v="10"/>
    <n v="20"/>
  </r>
  <r>
    <x v="165"/>
    <s v="Caio Mendes"/>
    <x v="1"/>
    <d v="2024-08-09T00:00:00"/>
    <x v="0"/>
    <n v="5"/>
    <x v="1"/>
    <s v="No"/>
    <s v="-"/>
    <s v="No"/>
    <n v="0"/>
    <n v="0"/>
    <n v="5"/>
  </r>
  <r>
    <x v="166"/>
    <s v="Daniela Moura"/>
    <x v="0"/>
    <d v="2024-08-10T00:00:00"/>
    <x v="1"/>
    <n v="15"/>
    <x v="0"/>
    <s v="Yes"/>
    <n v="30"/>
    <s v="Yes"/>
    <n v="20"/>
    <n v="20"/>
    <n v="45"/>
  </r>
  <r>
    <x v="167"/>
    <s v="Eduardo Costa"/>
    <x v="2"/>
    <d v="2024-08-11T00:00:00"/>
    <x v="0"/>
    <n v="10"/>
    <x v="2"/>
    <s v="No"/>
    <s v="-"/>
    <s v="Yes"/>
    <n v="20"/>
    <n v="15"/>
    <n v="15"/>
  </r>
  <r>
    <x v="168"/>
    <s v="Fernanda Gomes"/>
    <x v="1"/>
    <d v="2024-08-12T00:00:00"/>
    <x v="1"/>
    <n v="5"/>
    <x v="0"/>
    <s v="No"/>
    <s v="-"/>
    <s v="No"/>
    <n v="0"/>
    <n v="1"/>
    <n v="4"/>
  </r>
  <r>
    <x v="169"/>
    <s v="Guilherme Souza"/>
    <x v="0"/>
    <d v="2024-08-13T00:00:00"/>
    <x v="0"/>
    <n v="15"/>
    <x v="1"/>
    <s v="Yes"/>
    <n v="30"/>
    <s v="Yes"/>
    <n v="20"/>
    <n v="5"/>
    <n v="60"/>
  </r>
  <r>
    <x v="170"/>
    <s v="Helena Ribeiro"/>
    <x v="2"/>
    <d v="2024-08-14T00:00:00"/>
    <x v="1"/>
    <n v="10"/>
    <x v="0"/>
    <s v="No"/>
    <s v="-"/>
    <s v="Yes"/>
    <n v="20"/>
    <n v="10"/>
    <n v="20"/>
  </r>
  <r>
    <x v="171"/>
    <s v="Igor Santos"/>
    <x v="1"/>
    <d v="2024-08-15T00:00:00"/>
    <x v="0"/>
    <n v="5"/>
    <x v="2"/>
    <s v="No"/>
    <s v="-"/>
    <s v="No"/>
    <n v="0"/>
    <n v="0"/>
    <n v="5"/>
  </r>
  <r>
    <x v="172"/>
    <s v="João Carvalho"/>
    <x v="0"/>
    <d v="2024-08-16T00:00:00"/>
    <x v="1"/>
    <n v="15"/>
    <x v="0"/>
    <s v="Yes"/>
    <n v="30"/>
    <s v="Yes"/>
    <n v="20"/>
    <n v="3"/>
    <n v="62"/>
  </r>
  <r>
    <x v="173"/>
    <s v="Klara Fagundes"/>
    <x v="2"/>
    <d v="2024-08-17T00:00:00"/>
    <x v="0"/>
    <n v="10"/>
    <x v="1"/>
    <s v="No"/>
    <s v="-"/>
    <s v="Yes"/>
    <n v="20"/>
    <n v="15"/>
    <n v="15"/>
  </r>
  <r>
    <x v="174"/>
    <s v="Lúcia Mendonça"/>
    <x v="1"/>
    <d v="2024-08-18T00:00:00"/>
    <x v="1"/>
    <n v="5"/>
    <x v="0"/>
    <s v="No"/>
    <s v="-"/>
    <s v="No"/>
    <n v="0"/>
    <n v="1"/>
    <n v="4"/>
  </r>
  <r>
    <x v="175"/>
    <s v="Marcelo Novaes"/>
    <x v="1"/>
    <d v="2024-08-19T00:00:00"/>
    <x v="0"/>
    <n v="5"/>
    <x v="0"/>
    <s v="No"/>
    <s v="-"/>
    <s v="No"/>
    <n v="0"/>
    <n v="0"/>
    <n v="5"/>
  </r>
  <r>
    <x v="176"/>
    <s v="Nina Pacheco"/>
    <x v="0"/>
    <d v="2024-08-20T00:00:00"/>
    <x v="1"/>
    <n v="15"/>
    <x v="2"/>
    <s v="Yes"/>
    <n v="30"/>
    <s v="Yes"/>
    <n v="20"/>
    <n v="7"/>
    <n v="58"/>
  </r>
  <r>
    <x v="177"/>
    <s v="Olívia Rios"/>
    <x v="2"/>
    <d v="2024-08-21T00:00:00"/>
    <x v="0"/>
    <n v="10"/>
    <x v="1"/>
    <s v="No"/>
    <s v="-"/>
    <s v="Yes"/>
    <n v="20"/>
    <n v="10"/>
    <n v="20"/>
  </r>
  <r>
    <x v="178"/>
    <s v="Paulo Quintana"/>
    <x v="1"/>
    <d v="2024-08-22T00:00:00"/>
    <x v="1"/>
    <n v="5"/>
    <x v="2"/>
    <s v="No"/>
    <s v="-"/>
    <s v="No"/>
    <n v="0"/>
    <n v="1"/>
    <n v="4"/>
  </r>
  <r>
    <x v="179"/>
    <s v="Raquel Domingos"/>
    <x v="0"/>
    <d v="2024-08-23T00:00:00"/>
    <x v="0"/>
    <n v="15"/>
    <x v="0"/>
    <s v="Yes"/>
    <n v="30"/>
    <s v="Yes"/>
    <n v="20"/>
    <n v="15"/>
    <n v="50"/>
  </r>
  <r>
    <x v="180"/>
    <s v="Samuel Viana"/>
    <x v="2"/>
    <d v="2024-08-24T00:00:00"/>
    <x v="1"/>
    <n v="10"/>
    <x v="0"/>
    <s v="No"/>
    <s v="-"/>
    <s v="Yes"/>
    <n v="20"/>
    <n v="5"/>
    <n v="25"/>
  </r>
  <r>
    <x v="181"/>
    <s v="Tatiane Rocha"/>
    <x v="1"/>
    <d v="2024-08-25T00:00:00"/>
    <x v="0"/>
    <n v="5"/>
    <x v="1"/>
    <s v="No"/>
    <s v="-"/>
    <s v="No"/>
    <n v="0"/>
    <n v="0"/>
    <n v="5"/>
  </r>
  <r>
    <x v="182"/>
    <s v="Ulysses Farias"/>
    <x v="0"/>
    <d v="2024-08-26T00:00:00"/>
    <x v="1"/>
    <n v="15"/>
    <x v="2"/>
    <s v="Yes"/>
    <n v="30"/>
    <s v="Yes"/>
    <n v="20"/>
    <n v="20"/>
    <n v="45"/>
  </r>
  <r>
    <x v="183"/>
    <s v="Vanessa Moreira"/>
    <x v="2"/>
    <d v="2024-08-27T00:00:00"/>
    <x v="0"/>
    <n v="10"/>
    <x v="2"/>
    <s v="No"/>
    <s v="-"/>
    <s v="Yes"/>
    <n v="20"/>
    <n v="12"/>
    <n v="18"/>
  </r>
  <r>
    <x v="184"/>
    <s v="William Carvalho"/>
    <x v="1"/>
    <d v="2024-08-28T00:00:00"/>
    <x v="1"/>
    <n v="5"/>
    <x v="0"/>
    <s v="No"/>
    <s v="-"/>
    <s v="No"/>
    <n v="0"/>
    <n v="2"/>
    <n v="3"/>
  </r>
  <r>
    <x v="185"/>
    <s v="Ximena Barros"/>
    <x v="0"/>
    <d v="2024-08-29T00:00:00"/>
    <x v="0"/>
    <n v="15"/>
    <x v="1"/>
    <s v="Yes"/>
    <n v="30"/>
    <s v="Yes"/>
    <n v="20"/>
    <n v="5"/>
    <n v="60"/>
  </r>
  <r>
    <x v="186"/>
    <s v="Yara Machado"/>
    <x v="2"/>
    <d v="2024-08-30T00:00:00"/>
    <x v="1"/>
    <n v="10"/>
    <x v="0"/>
    <s v="No"/>
    <s v="-"/>
    <s v="Yes"/>
    <n v="20"/>
    <n v="10"/>
    <n v="20"/>
  </r>
  <r>
    <x v="187"/>
    <s v="Zacarias Costa"/>
    <x v="1"/>
    <d v="2024-08-31T00:00:00"/>
    <x v="0"/>
    <n v="5"/>
    <x v="2"/>
    <s v="No"/>
    <s v="-"/>
    <s v="No"/>
    <n v="0"/>
    <n v="0"/>
    <n v="5"/>
  </r>
  <r>
    <x v="188"/>
    <s v="André Lopes"/>
    <x v="0"/>
    <d v="2024-09-01T00:00:00"/>
    <x v="1"/>
    <n v="15"/>
    <x v="0"/>
    <s v="Yes"/>
    <n v="30"/>
    <s v="Yes"/>
    <n v="20"/>
    <n v="3"/>
    <n v="62"/>
  </r>
  <r>
    <x v="189"/>
    <s v="Beatriz Souza"/>
    <x v="2"/>
    <d v="2024-09-02T00:00:00"/>
    <x v="0"/>
    <n v="10"/>
    <x v="1"/>
    <s v="No"/>
    <s v="-"/>
    <s v="Yes"/>
    <n v="20"/>
    <n v="15"/>
    <n v="15"/>
  </r>
  <r>
    <x v="190"/>
    <s v="Caio Pereira"/>
    <x v="1"/>
    <d v="2024-09-03T00:00:00"/>
    <x v="1"/>
    <n v="5"/>
    <x v="0"/>
    <s v="No"/>
    <s v="-"/>
    <s v="No"/>
    <n v="0"/>
    <n v="1"/>
    <n v="4"/>
  </r>
  <r>
    <x v="191"/>
    <s v="Daniela Araújo"/>
    <x v="0"/>
    <d v="2024-09-04T00:00:00"/>
    <x v="0"/>
    <n v="15"/>
    <x v="2"/>
    <s v="Yes"/>
    <n v="30"/>
    <s v="Yes"/>
    <n v="20"/>
    <n v="7"/>
    <n v="58"/>
  </r>
  <r>
    <x v="192"/>
    <s v="Eduardo Santos"/>
    <x v="2"/>
    <d v="2024-09-05T00:00:00"/>
    <x v="1"/>
    <n v="10"/>
    <x v="0"/>
    <s v="No"/>
    <s v="-"/>
    <s v="Yes"/>
    <n v="20"/>
    <n v="10"/>
    <n v="20"/>
  </r>
  <r>
    <x v="193"/>
    <s v="Fernanda Lima"/>
    <x v="1"/>
    <d v="2024-09-06T00:00:00"/>
    <x v="0"/>
    <n v="5"/>
    <x v="1"/>
    <s v="No"/>
    <s v="-"/>
    <s v="No"/>
    <n v="0"/>
    <n v="0"/>
    <n v="5"/>
  </r>
  <r>
    <x v="194"/>
    <s v="Gabriel Teixeira"/>
    <x v="0"/>
    <d v="2024-09-07T00:00:00"/>
    <x v="1"/>
    <n v="15"/>
    <x v="0"/>
    <s v="Yes"/>
    <n v="30"/>
    <s v="Yes"/>
    <n v="20"/>
    <n v="20"/>
    <n v="45"/>
  </r>
  <r>
    <x v="195"/>
    <s v="Helena Ribeiro"/>
    <x v="2"/>
    <d v="2024-09-08T00:00:00"/>
    <x v="0"/>
    <n v="10"/>
    <x v="2"/>
    <s v="No"/>
    <s v="-"/>
    <s v="Yes"/>
    <n v="20"/>
    <n v="15"/>
    <n v="15"/>
  </r>
  <r>
    <x v="196"/>
    <s v="Igor Mendes"/>
    <x v="1"/>
    <d v="2024-09-09T00:00:00"/>
    <x v="1"/>
    <n v="5"/>
    <x v="0"/>
    <s v="No"/>
    <s v="-"/>
    <s v="No"/>
    <n v="0"/>
    <n v="1"/>
    <n v="4"/>
  </r>
  <r>
    <x v="197"/>
    <s v="Joana Silveira"/>
    <x v="0"/>
    <d v="2024-09-10T00:00:00"/>
    <x v="0"/>
    <n v="15"/>
    <x v="1"/>
    <s v="Yes"/>
    <n v="30"/>
    <s v="Yes"/>
    <n v="20"/>
    <n v="3"/>
    <n v="62"/>
  </r>
  <r>
    <x v="198"/>
    <s v="Lucas Martins"/>
    <x v="2"/>
    <d v="2024-09-11T00:00:00"/>
    <x v="1"/>
    <n v="10"/>
    <x v="0"/>
    <s v="No"/>
    <s v="-"/>
    <s v="Yes"/>
    <n v="20"/>
    <n v="10"/>
    <n v="20"/>
  </r>
  <r>
    <x v="199"/>
    <s v="Marcela Gouveia"/>
    <x v="1"/>
    <d v="2024-09-12T00:00:00"/>
    <x v="0"/>
    <n v="5"/>
    <x v="2"/>
    <s v="No"/>
    <s v="-"/>
    <s v="No"/>
    <n v="0"/>
    <n v="0"/>
    <n v="5"/>
  </r>
  <r>
    <x v="200"/>
    <s v="Nicolas Borges"/>
    <x v="0"/>
    <d v="2024-09-13T00:00:00"/>
    <x v="1"/>
    <n v="15"/>
    <x v="0"/>
    <s v="Yes"/>
    <n v="30"/>
    <s v="Yes"/>
    <n v="20"/>
    <n v="15"/>
    <n v="50"/>
  </r>
  <r>
    <x v="201"/>
    <s v="Olivia Freitas"/>
    <x v="2"/>
    <d v="2024-09-14T00:00:00"/>
    <x v="0"/>
    <n v="10"/>
    <x v="1"/>
    <s v="No"/>
    <s v="-"/>
    <s v="Yes"/>
    <n v="20"/>
    <n v="15"/>
    <n v="15"/>
  </r>
  <r>
    <x v="202"/>
    <s v="Paulo Nogueira"/>
    <x v="1"/>
    <d v="2024-09-15T00:00:00"/>
    <x v="1"/>
    <n v="5"/>
    <x v="0"/>
    <s v="No"/>
    <s v="-"/>
    <s v="No"/>
    <n v="0"/>
    <n v="1"/>
    <n v="4"/>
  </r>
  <r>
    <x v="203"/>
    <s v="Raquel Andrade"/>
    <x v="0"/>
    <d v="2024-09-16T00:00:00"/>
    <x v="0"/>
    <n v="15"/>
    <x v="2"/>
    <s v="Yes"/>
    <n v="30"/>
    <s v="Yes"/>
    <n v="20"/>
    <n v="7"/>
    <n v="58"/>
  </r>
  <r>
    <x v="204"/>
    <s v="Sônia Carvalho"/>
    <x v="2"/>
    <d v="2024-09-17T00:00:00"/>
    <x v="1"/>
    <n v="10"/>
    <x v="0"/>
    <s v="No"/>
    <s v="-"/>
    <s v="Yes"/>
    <n v="20"/>
    <n v="10"/>
    <n v="20"/>
  </r>
  <r>
    <x v="205"/>
    <s v="Tiago Rodrigues"/>
    <x v="1"/>
    <d v="2024-09-18T00:00:00"/>
    <x v="0"/>
    <n v="5"/>
    <x v="0"/>
    <s v="No"/>
    <s v="-"/>
    <s v="No"/>
    <n v="0"/>
    <n v="0"/>
    <n v="5"/>
  </r>
  <r>
    <x v="206"/>
    <s v="Ursula Monteiro"/>
    <x v="0"/>
    <d v="2024-09-19T00:00:00"/>
    <x v="1"/>
    <n v="15"/>
    <x v="2"/>
    <s v="Yes"/>
    <n v="30"/>
    <s v="Yes"/>
    <n v="20"/>
    <n v="7"/>
    <n v="58"/>
  </r>
  <r>
    <x v="207"/>
    <s v="Vanessa Pereira"/>
    <x v="2"/>
    <d v="2024-09-20T00:00:00"/>
    <x v="0"/>
    <n v="10"/>
    <x v="1"/>
    <s v="No"/>
    <s v="-"/>
    <s v="Yes"/>
    <n v="20"/>
    <n v="10"/>
    <n v="20"/>
  </r>
  <r>
    <x v="208"/>
    <s v="Walter Silva"/>
    <x v="1"/>
    <d v="2024-09-21T00:00:00"/>
    <x v="1"/>
    <n v="5"/>
    <x v="2"/>
    <s v="No"/>
    <s v="-"/>
    <s v="No"/>
    <n v="0"/>
    <n v="1"/>
    <n v="4"/>
  </r>
  <r>
    <x v="209"/>
    <s v="Xavier Almeida"/>
    <x v="0"/>
    <d v="2024-09-22T00:00:00"/>
    <x v="0"/>
    <n v="15"/>
    <x v="0"/>
    <s v="Yes"/>
    <n v="30"/>
    <s v="Yes"/>
    <n v="20"/>
    <n v="15"/>
    <n v="50"/>
  </r>
  <r>
    <x v="210"/>
    <s v="Yasmine Correia"/>
    <x v="2"/>
    <d v="2024-09-23T00:00:00"/>
    <x v="1"/>
    <n v="10"/>
    <x v="0"/>
    <s v="No"/>
    <s v="-"/>
    <s v="Yes"/>
    <n v="20"/>
    <n v="5"/>
    <n v="25"/>
  </r>
  <r>
    <x v="211"/>
    <s v="Zacarias Almeida"/>
    <x v="1"/>
    <d v="2024-09-24T00:00:00"/>
    <x v="0"/>
    <n v="5"/>
    <x v="1"/>
    <s v="No"/>
    <s v="-"/>
    <s v="No"/>
    <n v="0"/>
    <n v="0"/>
    <n v="5"/>
  </r>
  <r>
    <x v="212"/>
    <s v="Amanda Costa"/>
    <x v="0"/>
    <d v="2024-09-25T00:00:00"/>
    <x v="1"/>
    <n v="15"/>
    <x v="2"/>
    <s v="Yes"/>
    <n v="30"/>
    <s v="Yes"/>
    <n v="20"/>
    <n v="20"/>
    <n v="45"/>
  </r>
  <r>
    <x v="213"/>
    <s v="Bruno Ferreira"/>
    <x v="2"/>
    <d v="2024-09-26T00:00:00"/>
    <x v="0"/>
    <n v="10"/>
    <x v="2"/>
    <s v="No"/>
    <s v="-"/>
    <s v="Yes"/>
    <n v="20"/>
    <n v="12"/>
    <n v="18"/>
  </r>
  <r>
    <x v="214"/>
    <s v="Carla Dias"/>
    <x v="1"/>
    <d v="2024-09-27T00:00:00"/>
    <x v="1"/>
    <n v="5"/>
    <x v="0"/>
    <s v="No"/>
    <s v="-"/>
    <s v="No"/>
    <n v="0"/>
    <n v="2"/>
    <n v="3"/>
  </r>
  <r>
    <x v="215"/>
    <s v="Diogo Martins"/>
    <x v="0"/>
    <d v="2024-09-28T00:00:00"/>
    <x v="0"/>
    <n v="15"/>
    <x v="1"/>
    <s v="Yes"/>
    <n v="30"/>
    <s v="Yes"/>
    <n v="20"/>
    <n v="5"/>
    <n v="60"/>
  </r>
  <r>
    <x v="216"/>
    <s v="Elisa Campos"/>
    <x v="2"/>
    <d v="2024-09-29T00:00:00"/>
    <x v="1"/>
    <n v="10"/>
    <x v="0"/>
    <s v="No"/>
    <s v="-"/>
    <s v="Yes"/>
    <n v="20"/>
    <n v="10"/>
    <n v="20"/>
  </r>
  <r>
    <x v="217"/>
    <s v="Fabiana Lima"/>
    <x v="1"/>
    <d v="2024-09-30T00:00:00"/>
    <x v="0"/>
    <n v="5"/>
    <x v="2"/>
    <s v="No"/>
    <s v="-"/>
    <s v="No"/>
    <n v="0"/>
    <n v="0"/>
    <n v="5"/>
  </r>
  <r>
    <x v="218"/>
    <s v="Gabriel Santos"/>
    <x v="0"/>
    <d v="2024-10-01T00:00:00"/>
    <x v="1"/>
    <n v="15"/>
    <x v="0"/>
    <s v="Yes"/>
    <n v="30"/>
    <s v="Yes"/>
    <n v="20"/>
    <n v="3"/>
    <n v="62"/>
  </r>
  <r>
    <x v="219"/>
    <s v="Helena Ferreira"/>
    <x v="2"/>
    <d v="2024-10-02T00:00:00"/>
    <x v="0"/>
    <n v="10"/>
    <x v="1"/>
    <s v="No"/>
    <s v="-"/>
    <s v="Yes"/>
    <n v="20"/>
    <n v="15"/>
    <n v="15"/>
  </r>
  <r>
    <x v="220"/>
    <s v="Ígor Nunes"/>
    <x v="1"/>
    <d v="2024-10-03T00:00:00"/>
    <x v="1"/>
    <n v="5"/>
    <x v="0"/>
    <s v="No"/>
    <s v="-"/>
    <s v="No"/>
    <n v="0"/>
    <n v="1"/>
    <n v="4"/>
  </r>
  <r>
    <x v="221"/>
    <s v="Joana Silveira"/>
    <x v="0"/>
    <d v="2024-10-04T00:00:00"/>
    <x v="0"/>
    <n v="15"/>
    <x v="2"/>
    <s v="Yes"/>
    <n v="30"/>
    <s v="Yes"/>
    <n v="20"/>
    <n v="7"/>
    <n v="58"/>
  </r>
  <r>
    <x v="222"/>
    <s v="Kléber Oliveira"/>
    <x v="2"/>
    <d v="2024-10-05T00:00:00"/>
    <x v="1"/>
    <n v="10"/>
    <x v="0"/>
    <s v="No"/>
    <s v="-"/>
    <s v="Yes"/>
    <n v="20"/>
    <n v="10"/>
    <n v="20"/>
  </r>
  <r>
    <x v="223"/>
    <s v="Luciana Morais"/>
    <x v="1"/>
    <d v="2024-10-06T00:00:00"/>
    <x v="0"/>
    <n v="5"/>
    <x v="1"/>
    <s v="No"/>
    <s v="-"/>
    <s v="No"/>
    <n v="0"/>
    <n v="0"/>
    <n v="5"/>
  </r>
  <r>
    <x v="224"/>
    <s v="Marcos Vinícius"/>
    <x v="0"/>
    <d v="2024-10-07T00:00:00"/>
    <x v="1"/>
    <n v="15"/>
    <x v="0"/>
    <s v="Yes"/>
    <n v="30"/>
    <s v="Yes"/>
    <n v="20"/>
    <n v="20"/>
    <n v="45"/>
  </r>
  <r>
    <x v="225"/>
    <s v="Natália Barros"/>
    <x v="2"/>
    <d v="2024-10-08T00:00:00"/>
    <x v="0"/>
    <n v="10"/>
    <x v="2"/>
    <s v="No"/>
    <s v="-"/>
    <s v="Yes"/>
    <n v="20"/>
    <n v="15"/>
    <n v="15"/>
  </r>
  <r>
    <x v="226"/>
    <s v="Oscar Sampaio"/>
    <x v="1"/>
    <d v="2024-10-09T00:00:00"/>
    <x v="1"/>
    <n v="5"/>
    <x v="0"/>
    <s v="No"/>
    <s v="-"/>
    <s v="No"/>
    <n v="0"/>
    <n v="1"/>
    <n v="4"/>
  </r>
  <r>
    <x v="227"/>
    <s v="Patrícia Leite"/>
    <x v="0"/>
    <d v="2024-10-10T00:00:00"/>
    <x v="0"/>
    <n v="15"/>
    <x v="1"/>
    <s v="Yes"/>
    <n v="30"/>
    <s v="Yes"/>
    <n v="20"/>
    <n v="3"/>
    <n v="62"/>
  </r>
  <r>
    <x v="228"/>
    <s v="Quênia Rocha"/>
    <x v="2"/>
    <d v="2024-10-11T00:00:00"/>
    <x v="1"/>
    <n v="10"/>
    <x v="0"/>
    <s v="No"/>
    <s v="-"/>
    <s v="Yes"/>
    <n v="20"/>
    <n v="10"/>
    <n v="20"/>
  </r>
  <r>
    <x v="229"/>
    <s v="Rafael Torres"/>
    <x v="1"/>
    <d v="2024-10-12T00:00:00"/>
    <x v="0"/>
    <n v="5"/>
    <x v="2"/>
    <s v="No"/>
    <s v="-"/>
    <s v="No"/>
    <n v="0"/>
    <n v="0"/>
    <n v="5"/>
  </r>
  <r>
    <x v="230"/>
    <s v="Sandra Gouveia"/>
    <x v="0"/>
    <d v="2024-10-13T00:00:00"/>
    <x v="1"/>
    <n v="15"/>
    <x v="0"/>
    <s v="Yes"/>
    <n v="30"/>
    <s v="Yes"/>
    <n v="20"/>
    <n v="15"/>
    <n v="50"/>
  </r>
  <r>
    <x v="231"/>
    <s v="Tiago Lacerda"/>
    <x v="2"/>
    <d v="2024-10-14T00:00:00"/>
    <x v="0"/>
    <n v="10"/>
    <x v="1"/>
    <s v="No"/>
    <s v="-"/>
    <s v="Yes"/>
    <n v="20"/>
    <n v="15"/>
    <n v="15"/>
  </r>
  <r>
    <x v="232"/>
    <s v="Ursula Fonseca"/>
    <x v="1"/>
    <d v="2024-10-15T00:00:00"/>
    <x v="1"/>
    <n v="5"/>
    <x v="0"/>
    <s v="No"/>
    <s v="-"/>
    <s v="No"/>
    <n v="0"/>
    <n v="1"/>
    <n v="4"/>
  </r>
  <r>
    <x v="233"/>
    <s v="Vanessa Andrade"/>
    <x v="0"/>
    <d v="2024-10-16T00:00:00"/>
    <x v="0"/>
    <n v="15"/>
    <x v="2"/>
    <s v="Yes"/>
    <n v="30"/>
    <s v="Yes"/>
    <n v="20"/>
    <n v="7"/>
    <n v="58"/>
  </r>
  <r>
    <x v="234"/>
    <s v="William Castro"/>
    <x v="2"/>
    <d v="2024-10-17T00:00:00"/>
    <x v="1"/>
    <n v="10"/>
    <x v="0"/>
    <s v="No"/>
    <s v="-"/>
    <s v="Yes"/>
    <n v="20"/>
    <n v="10"/>
    <n v="20"/>
  </r>
  <r>
    <x v="235"/>
    <s v="Xavier Monteiro"/>
    <x v="1"/>
    <d v="2024-10-18T00:00:00"/>
    <x v="0"/>
    <n v="5"/>
    <x v="1"/>
    <s v="No"/>
    <s v="-"/>
    <s v="No"/>
    <n v="0"/>
    <n v="0"/>
    <n v="5"/>
  </r>
  <r>
    <x v="236"/>
    <s v="Yasmin Figueira"/>
    <x v="0"/>
    <d v="2024-10-19T00:00:00"/>
    <x v="1"/>
    <n v="15"/>
    <x v="0"/>
    <s v="Yes"/>
    <n v="30"/>
    <s v="Yes"/>
    <n v="20"/>
    <n v="15"/>
    <n v="50"/>
  </r>
  <r>
    <x v="237"/>
    <s v="Zacarias Mendonça"/>
    <x v="2"/>
    <d v="2024-10-20T00:00:00"/>
    <x v="0"/>
    <n v="10"/>
    <x v="2"/>
    <s v="No"/>
    <s v="-"/>
    <s v="Yes"/>
    <n v="20"/>
    <n v="12"/>
    <n v="18"/>
  </r>
  <r>
    <x v="238"/>
    <s v="Amanda Menezes"/>
    <x v="1"/>
    <d v="2024-10-21T00:00:00"/>
    <x v="1"/>
    <n v="5"/>
    <x v="0"/>
    <s v="No"/>
    <s v="-"/>
    <s v="No"/>
    <n v="0"/>
    <n v="2"/>
    <n v="3"/>
  </r>
  <r>
    <x v="239"/>
    <s v="Bruno Santos"/>
    <x v="0"/>
    <d v="2024-10-22T00:00:00"/>
    <x v="0"/>
    <n v="15"/>
    <x v="1"/>
    <s v="Yes"/>
    <n v="30"/>
    <s v="Yes"/>
    <n v="20"/>
    <n v="5"/>
    <n v="60"/>
  </r>
  <r>
    <x v="240"/>
    <s v="Carla Ferreira"/>
    <x v="2"/>
    <d v="2024-10-23T00:00:00"/>
    <x v="1"/>
    <n v="10"/>
    <x v="0"/>
    <s v="No"/>
    <s v="-"/>
    <s v="Yes"/>
    <n v="20"/>
    <n v="10"/>
    <n v="20"/>
  </r>
  <r>
    <x v="241"/>
    <s v="Diogo Alves"/>
    <x v="1"/>
    <d v="2024-10-24T00:00:00"/>
    <x v="0"/>
    <n v="5"/>
    <x v="2"/>
    <s v="No"/>
    <s v="-"/>
    <s v="No"/>
    <n v="0"/>
    <n v="0"/>
    <n v="5"/>
  </r>
  <r>
    <x v="242"/>
    <s v="Elisa Neves"/>
    <x v="0"/>
    <d v="2024-10-25T00:00:00"/>
    <x v="1"/>
    <n v="15"/>
    <x v="0"/>
    <s v="Yes"/>
    <n v="30"/>
    <s v="Yes"/>
    <n v="20"/>
    <n v="3"/>
    <n v="62"/>
  </r>
  <r>
    <x v="243"/>
    <s v="Fabiano Pires"/>
    <x v="2"/>
    <d v="2024-10-26T00:00:00"/>
    <x v="0"/>
    <n v="10"/>
    <x v="1"/>
    <s v="No"/>
    <s v="-"/>
    <s v="Yes"/>
    <n v="20"/>
    <n v="15"/>
    <n v="15"/>
  </r>
  <r>
    <x v="244"/>
    <s v="Giovana Ribeiro"/>
    <x v="1"/>
    <d v="2024-10-27T00:00:00"/>
    <x v="1"/>
    <n v="5"/>
    <x v="0"/>
    <s v="No"/>
    <s v="-"/>
    <s v="No"/>
    <n v="0"/>
    <n v="1"/>
    <n v="4"/>
  </r>
  <r>
    <x v="245"/>
    <s v="Hélio Costa"/>
    <x v="0"/>
    <d v="2024-10-28T00:00:00"/>
    <x v="0"/>
    <n v="15"/>
    <x v="2"/>
    <s v="Yes"/>
    <n v="30"/>
    <s v="Yes"/>
    <n v="20"/>
    <n v="7"/>
    <n v="58"/>
  </r>
  <r>
    <x v="246"/>
    <s v="Íris Loureiro"/>
    <x v="2"/>
    <d v="2024-10-29T00:00:00"/>
    <x v="1"/>
    <n v="10"/>
    <x v="0"/>
    <s v="No"/>
    <s v="-"/>
    <s v="Yes"/>
    <n v="20"/>
    <n v="10"/>
    <n v="20"/>
  </r>
  <r>
    <x v="247"/>
    <s v="João Pereira"/>
    <x v="1"/>
    <d v="2024-10-30T00:00:00"/>
    <x v="0"/>
    <n v="5"/>
    <x v="1"/>
    <s v="No"/>
    <s v="-"/>
    <s v="No"/>
    <n v="0"/>
    <n v="0"/>
    <n v="5"/>
  </r>
  <r>
    <x v="248"/>
    <s v="Klara Silva"/>
    <x v="0"/>
    <d v="2024-10-31T00:00:00"/>
    <x v="1"/>
    <n v="15"/>
    <x v="0"/>
    <s v="Yes"/>
    <n v="30"/>
    <s v="Yes"/>
    <n v="20"/>
    <n v="20"/>
    <n v="45"/>
  </r>
  <r>
    <x v="249"/>
    <s v="Luciana Barros"/>
    <x v="2"/>
    <d v="2024-11-01T00:00:00"/>
    <x v="0"/>
    <n v="10"/>
    <x v="2"/>
    <s v="No"/>
    <s v="-"/>
    <s v="Yes"/>
    <n v="20"/>
    <n v="15"/>
    <n v="15"/>
  </r>
  <r>
    <x v="250"/>
    <s v="Marcos Gomes"/>
    <x v="1"/>
    <d v="2024-11-02T00:00:00"/>
    <x v="1"/>
    <n v="5"/>
    <x v="0"/>
    <s v="No"/>
    <s v="-"/>
    <s v="No"/>
    <n v="0"/>
    <n v="1"/>
    <n v="4"/>
  </r>
  <r>
    <x v="251"/>
    <s v="Natália Soares"/>
    <x v="0"/>
    <d v="2024-11-03T00:00:00"/>
    <x v="0"/>
    <n v="15"/>
    <x v="1"/>
    <s v="Yes"/>
    <n v="30"/>
    <s v="Yes"/>
    <n v="20"/>
    <n v="3"/>
    <n v="62"/>
  </r>
  <r>
    <x v="252"/>
    <s v="Oscar Machado"/>
    <x v="2"/>
    <d v="2024-11-04T00:00:00"/>
    <x v="1"/>
    <n v="10"/>
    <x v="0"/>
    <s v="No"/>
    <s v="-"/>
    <s v="Yes"/>
    <n v="20"/>
    <n v="10"/>
    <n v="20"/>
  </r>
  <r>
    <x v="253"/>
    <s v="Patrícia Lima"/>
    <x v="1"/>
    <d v="2024-11-05T00:00:00"/>
    <x v="0"/>
    <n v="5"/>
    <x v="2"/>
    <s v="No"/>
    <s v="-"/>
    <s v="No"/>
    <n v="0"/>
    <n v="0"/>
    <n v="5"/>
  </r>
  <r>
    <x v="254"/>
    <s v="Quirino Neto"/>
    <x v="0"/>
    <d v="2024-11-06T00:00:00"/>
    <x v="1"/>
    <n v="15"/>
    <x v="0"/>
    <s v="Yes"/>
    <n v="30"/>
    <s v="Yes"/>
    <n v="20"/>
    <n v="15"/>
    <n v="50"/>
  </r>
  <r>
    <x v="255"/>
    <s v="Rafaela Souza"/>
    <x v="1"/>
    <d v="2024-11-07T00:00:00"/>
    <x v="0"/>
    <n v="5"/>
    <x v="0"/>
    <s v="No"/>
    <s v="-"/>
    <s v="No"/>
    <n v="0"/>
    <n v="0"/>
    <n v="5"/>
  </r>
  <r>
    <x v="256"/>
    <s v="Sandro Almeida"/>
    <x v="0"/>
    <d v="2024-11-08T00:00:00"/>
    <x v="1"/>
    <n v="15"/>
    <x v="2"/>
    <s v="Yes"/>
    <n v="30"/>
    <s v="Yes"/>
    <n v="20"/>
    <n v="7"/>
    <n v="58"/>
  </r>
  <r>
    <x v="257"/>
    <s v="Tânia Ribeiro"/>
    <x v="2"/>
    <d v="2024-11-09T00:00:00"/>
    <x v="0"/>
    <n v="10"/>
    <x v="1"/>
    <s v="No"/>
    <s v="-"/>
    <s v="Yes"/>
    <n v="20"/>
    <n v="10"/>
    <n v="20"/>
  </r>
  <r>
    <x v="258"/>
    <s v="Ugo Dias"/>
    <x v="1"/>
    <d v="2024-11-10T00:00:00"/>
    <x v="1"/>
    <n v="5"/>
    <x v="2"/>
    <s v="No"/>
    <s v="-"/>
    <s v="No"/>
    <n v="0"/>
    <n v="1"/>
    <n v="4"/>
  </r>
  <r>
    <x v="259"/>
    <s v="Valéria Lima"/>
    <x v="0"/>
    <d v="2024-11-11T00:00:00"/>
    <x v="0"/>
    <n v="15"/>
    <x v="0"/>
    <s v="Yes"/>
    <n v="30"/>
    <s v="Yes"/>
    <n v="20"/>
    <n v="15"/>
    <n v="50"/>
  </r>
  <r>
    <x v="260"/>
    <s v="William Fernandes"/>
    <x v="2"/>
    <d v="2024-11-12T00:00:00"/>
    <x v="1"/>
    <n v="10"/>
    <x v="0"/>
    <s v="No"/>
    <s v="-"/>
    <s v="Yes"/>
    <n v="20"/>
    <n v="5"/>
    <n v="25"/>
  </r>
  <r>
    <x v="261"/>
    <s v="Xuxa Mendes"/>
    <x v="1"/>
    <d v="2024-11-13T00:00:00"/>
    <x v="0"/>
    <n v="5"/>
    <x v="1"/>
    <s v="No"/>
    <s v="-"/>
    <s v="No"/>
    <n v="0"/>
    <n v="0"/>
    <n v="5"/>
  </r>
  <r>
    <x v="262"/>
    <s v="Ygor Farias"/>
    <x v="0"/>
    <d v="2024-11-14T00:00:00"/>
    <x v="1"/>
    <n v="15"/>
    <x v="2"/>
    <s v="Yes"/>
    <n v="30"/>
    <s v="Yes"/>
    <n v="20"/>
    <n v="20"/>
    <n v="45"/>
  </r>
  <r>
    <x v="263"/>
    <s v="Zilda Barros"/>
    <x v="2"/>
    <d v="2024-11-15T00:00:00"/>
    <x v="0"/>
    <n v="10"/>
    <x v="2"/>
    <s v="No"/>
    <s v="-"/>
    <s v="Yes"/>
    <n v="20"/>
    <n v="12"/>
    <n v="18"/>
  </r>
  <r>
    <x v="264"/>
    <s v="Amanda Santos"/>
    <x v="1"/>
    <d v="2024-11-16T00:00:00"/>
    <x v="1"/>
    <n v="5"/>
    <x v="0"/>
    <s v="No"/>
    <s v="-"/>
    <s v="No"/>
    <n v="0"/>
    <n v="2"/>
    <n v="3"/>
  </r>
  <r>
    <x v="265"/>
    <s v="Bruno Costa"/>
    <x v="0"/>
    <d v="2024-11-17T00:00:00"/>
    <x v="0"/>
    <n v="15"/>
    <x v="1"/>
    <s v="Yes"/>
    <n v="30"/>
    <s v="Yes"/>
    <n v="20"/>
    <n v="5"/>
    <n v="60"/>
  </r>
  <r>
    <x v="266"/>
    <s v="Carla Rodrigues"/>
    <x v="2"/>
    <d v="2024-11-18T00:00:00"/>
    <x v="1"/>
    <n v="10"/>
    <x v="0"/>
    <s v="No"/>
    <s v="-"/>
    <s v="Yes"/>
    <n v="20"/>
    <n v="10"/>
    <n v="20"/>
  </r>
  <r>
    <x v="267"/>
    <s v="Diogo Pereira"/>
    <x v="1"/>
    <d v="2024-11-19T00:00:00"/>
    <x v="0"/>
    <n v="5"/>
    <x v="2"/>
    <s v="No"/>
    <s v="-"/>
    <s v="No"/>
    <n v="0"/>
    <n v="0"/>
    <n v="5"/>
  </r>
  <r>
    <x v="268"/>
    <s v="Elisa Correia"/>
    <x v="0"/>
    <d v="2024-11-20T00:00:00"/>
    <x v="1"/>
    <n v="15"/>
    <x v="0"/>
    <s v="Yes"/>
    <n v="30"/>
    <s v="Yes"/>
    <n v="20"/>
    <n v="3"/>
    <n v="62"/>
  </r>
  <r>
    <x v="269"/>
    <s v="Fábio Lourenço"/>
    <x v="2"/>
    <d v="2024-11-21T00:00:00"/>
    <x v="0"/>
    <n v="10"/>
    <x v="1"/>
    <s v="No"/>
    <s v="-"/>
    <s v="Yes"/>
    <n v="20"/>
    <n v="15"/>
    <n v="15"/>
  </r>
  <r>
    <x v="270"/>
    <s v="Gabriela Neves"/>
    <x v="1"/>
    <d v="2024-11-22T00:00:00"/>
    <x v="1"/>
    <n v="5"/>
    <x v="0"/>
    <s v="No"/>
    <s v="-"/>
    <s v="No"/>
    <n v="0"/>
    <n v="1"/>
    <n v="4"/>
  </r>
  <r>
    <x v="271"/>
    <s v="Henrique Gonçalves"/>
    <x v="0"/>
    <d v="2024-11-23T00:00:00"/>
    <x v="0"/>
    <n v="15"/>
    <x v="2"/>
    <s v="Yes"/>
    <n v="30"/>
    <s v="Yes"/>
    <n v="20"/>
    <n v="7"/>
    <n v="58"/>
  </r>
  <r>
    <x v="272"/>
    <s v="Íris Santos"/>
    <x v="2"/>
    <d v="2024-11-24T00:00:00"/>
    <x v="1"/>
    <n v="10"/>
    <x v="0"/>
    <s v="No"/>
    <s v="-"/>
    <s v="Yes"/>
    <n v="20"/>
    <n v="10"/>
    <n v="20"/>
  </r>
  <r>
    <x v="273"/>
    <s v="João Marcelo Alves"/>
    <x v="1"/>
    <d v="2024-11-25T00:00:00"/>
    <x v="0"/>
    <n v="5"/>
    <x v="1"/>
    <s v="No"/>
    <s v="-"/>
    <s v="No"/>
    <n v="0"/>
    <n v="0"/>
    <n v="5"/>
  </r>
  <r>
    <x v="274"/>
    <s v="Klara Fonseca"/>
    <x v="0"/>
    <d v="2024-11-26T00:00:00"/>
    <x v="1"/>
    <n v="15"/>
    <x v="0"/>
    <s v="Yes"/>
    <n v="30"/>
    <s v="Yes"/>
    <n v="20"/>
    <n v="20"/>
    <n v="45"/>
  </r>
  <r>
    <x v="275"/>
    <s v="Lucas Mendonça"/>
    <x v="2"/>
    <d v="2024-11-27T00:00:00"/>
    <x v="0"/>
    <n v="10"/>
    <x v="2"/>
    <s v="No"/>
    <s v="-"/>
    <s v="Yes"/>
    <n v="20"/>
    <n v="15"/>
    <n v="15"/>
  </r>
  <r>
    <x v="276"/>
    <s v="Marcela Torres"/>
    <x v="1"/>
    <d v="2024-11-28T00:00:00"/>
    <x v="1"/>
    <n v="5"/>
    <x v="0"/>
    <s v="No"/>
    <s v="-"/>
    <s v="No"/>
    <n v="0"/>
    <n v="1"/>
    <n v="4"/>
  </r>
  <r>
    <x v="277"/>
    <s v="Natália Castro"/>
    <x v="0"/>
    <d v="2024-11-29T00:00:00"/>
    <x v="0"/>
    <n v="15"/>
    <x v="1"/>
    <s v="Yes"/>
    <n v="30"/>
    <s v="Yes"/>
    <n v="20"/>
    <n v="3"/>
    <n v="62"/>
  </r>
  <r>
    <x v="278"/>
    <s v="Oscar Martins"/>
    <x v="2"/>
    <d v="2024-11-30T00:00:00"/>
    <x v="1"/>
    <n v="10"/>
    <x v="0"/>
    <s v="No"/>
    <s v="-"/>
    <s v="Yes"/>
    <n v="20"/>
    <n v="10"/>
    <n v="20"/>
  </r>
  <r>
    <x v="279"/>
    <s v="Patrícia Oliveira"/>
    <x v="1"/>
    <d v="2024-12-01T00:00:00"/>
    <x v="0"/>
    <n v="5"/>
    <x v="2"/>
    <s v="No"/>
    <s v="-"/>
    <s v="No"/>
    <n v="0"/>
    <n v="0"/>
    <n v="5"/>
  </r>
  <r>
    <x v="280"/>
    <s v="Quentin Nogueira"/>
    <x v="0"/>
    <d v="2024-12-02T00:00:00"/>
    <x v="1"/>
    <n v="15"/>
    <x v="0"/>
    <s v="Yes"/>
    <n v="30"/>
    <s v="Yes"/>
    <n v="20"/>
    <n v="15"/>
    <n v="50"/>
  </r>
  <r>
    <x v="281"/>
    <s v="Raquel Silva"/>
    <x v="2"/>
    <d v="2024-12-03T00:00:00"/>
    <x v="0"/>
    <n v="10"/>
    <x v="1"/>
    <s v="No"/>
    <s v="-"/>
    <s v="Yes"/>
    <n v="20"/>
    <n v="15"/>
    <n v="15"/>
  </r>
  <r>
    <x v="282"/>
    <s v="Sandro Gomes"/>
    <x v="1"/>
    <d v="2024-12-04T00:00:00"/>
    <x v="1"/>
    <n v="5"/>
    <x v="0"/>
    <s v="No"/>
    <s v="-"/>
    <s v="No"/>
    <n v="0"/>
    <n v="1"/>
    <n v="4"/>
  </r>
  <r>
    <x v="283"/>
    <s v="Tânia Machado"/>
    <x v="0"/>
    <d v="2024-12-05T00:00:00"/>
    <x v="0"/>
    <n v="15"/>
    <x v="2"/>
    <s v="Yes"/>
    <n v="30"/>
    <s v="Yes"/>
    <n v="20"/>
    <n v="7"/>
    <n v="58"/>
  </r>
  <r>
    <x v="284"/>
    <s v="Ursula Silva"/>
    <x v="2"/>
    <d v="2024-12-06T00:00:00"/>
    <x v="1"/>
    <n v="10"/>
    <x v="0"/>
    <s v="No"/>
    <s v="-"/>
    <s v="Yes"/>
    <n v="20"/>
    <n v="10"/>
    <n v="20"/>
  </r>
  <r>
    <x v="285"/>
    <s v="Vanessa Moraes"/>
    <x v="1"/>
    <d v="2024-12-07T00:00:00"/>
    <x v="0"/>
    <n v="5"/>
    <x v="1"/>
    <s v="No"/>
    <s v="-"/>
    <s v="No"/>
    <n v="0"/>
    <n v="0"/>
    <n v="5"/>
  </r>
  <r>
    <x v="286"/>
    <s v="William Carvalho"/>
    <x v="0"/>
    <d v="2024-12-08T00:00:00"/>
    <x v="1"/>
    <n v="15"/>
    <x v="0"/>
    <s v="Yes"/>
    <n v="30"/>
    <s v="Yes"/>
    <n v="20"/>
    <n v="20"/>
    <n v="45"/>
  </r>
  <r>
    <x v="287"/>
    <s v="Xavier Reis"/>
    <x v="2"/>
    <d v="2024-12-09T00:00:00"/>
    <x v="0"/>
    <n v="10"/>
    <x v="2"/>
    <s v="No"/>
    <s v="-"/>
    <s v="Yes"/>
    <n v="20"/>
    <n v="12"/>
    <n v="18"/>
  </r>
  <r>
    <x v="288"/>
    <s v="Yasmin Rocha"/>
    <x v="1"/>
    <d v="2024-12-10T00:00:00"/>
    <x v="1"/>
    <n v="5"/>
    <x v="0"/>
    <s v="No"/>
    <s v="-"/>
    <s v="No"/>
    <n v="0"/>
    <n v="2"/>
    <n v="3"/>
  </r>
  <r>
    <x v="289"/>
    <s v="Zacarias Duarte"/>
    <x v="0"/>
    <d v="2024-12-11T00:00:00"/>
    <x v="0"/>
    <n v="15"/>
    <x v="1"/>
    <s v="Yes"/>
    <n v="30"/>
    <s v="Yes"/>
    <n v="20"/>
    <n v="5"/>
    <n v="60"/>
  </r>
  <r>
    <x v="290"/>
    <s v="Amanda Freitas"/>
    <x v="2"/>
    <d v="2024-12-12T00:00:00"/>
    <x v="1"/>
    <n v="10"/>
    <x v="0"/>
    <s v="No"/>
    <s v="-"/>
    <s v="Yes"/>
    <n v="20"/>
    <n v="10"/>
    <n v="20"/>
  </r>
  <r>
    <x v="291"/>
    <s v="Bruno Almeida"/>
    <x v="1"/>
    <d v="2024-12-13T00:00:00"/>
    <x v="0"/>
    <n v="5"/>
    <x v="2"/>
    <s v="No"/>
    <s v="-"/>
    <s v="No"/>
    <n v="0"/>
    <n v="0"/>
    <n v="5"/>
  </r>
  <r>
    <x v="292"/>
    <s v="Carla Siqueira"/>
    <x v="0"/>
    <d v="2024-12-14T00:00:00"/>
    <x v="1"/>
    <n v="15"/>
    <x v="0"/>
    <s v="Yes"/>
    <n v="30"/>
    <s v="Yes"/>
    <n v="20"/>
    <n v="3"/>
    <n v="62"/>
  </r>
  <r>
    <x v="293"/>
    <s v="Diogo Ramos"/>
    <x v="2"/>
    <d v="2024-12-15T00:00:00"/>
    <x v="0"/>
    <n v="10"/>
    <x v="1"/>
    <s v="No"/>
    <s v="-"/>
    <s v="Yes"/>
    <n v="20"/>
    <n v="15"/>
    <n v="15"/>
  </r>
  <r>
    <x v="294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91CD0-1D35-4CF3-A6D4-0F1E7550CA15}" name="Tabela dinâmica7" cacheId="2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8">
  <location ref="F23:G27" firstHeaderRow="1" firstDataRow="1" firstDataCol="1"/>
  <pivotFields count="14">
    <pivotField dataField="1"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showDataAs="percentOfTotal" baseField="0" baseItem="0" numFmtId="10"/>
  </dataFields>
  <chartFormats count="6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FDA2C-5E0C-4F00-A2A6-411004E33A55}" name="Tabela dinâmica3" cacheId="2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C23:D27" firstHeaderRow="1" firstDataRow="1" firstDataCol="1"/>
  <pivotFields count="14">
    <pivotField dataField="1"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E5DF4-46FB-4358-AD40-89A5B2515CD0}" name="Tabela dinâmica2" cacheId="2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C16:D20" firstHeaderRow="1" firstDataRow="1" firstDataCol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/>
  </dataField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055B1-8AAE-4659-8E13-4A9D5473BB31}" name="Tabela dinâmica5" cacheId="2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35:C36" firstHeaderRow="1" firstDataRow="1" firstDataCol="0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/>
    <pivotField dragToRow="0" dragToCol="0" dragToPage="0" showAll="0" defaultSubtotal="0"/>
  </pivotFields>
  <rowItems count="1">
    <i/>
  </rowItems>
  <colItems count="1">
    <i/>
  </colItems>
  <dataFields count="1">
    <dataField name="Soma de Coupon Value" fld="11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04704-1889-4B53-BE30-842E85BE7429}" name="Tabela dinâmica4" cacheId="2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C30:E31" firstHeaderRow="0" firstDataRow="1" firstDataCol="0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dataField="1" numFmtId="44" showAll="0"/>
    <pivotField numFmtId="44" showAll="0"/>
    <pivotField numFmtId="44" showAll="0"/>
    <pivotField dataField="1"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ntagem de EA Play Season Pass_x000a_Price" fld="8" subtotal="count" baseField="0" baseItem="0"/>
    <dataField name="Soma de Minecraft Season Pass Price" fld="10" baseField="0" baseItem="0" numFmtId="164"/>
    <dataField name="Soma de ticket %" fld="13" baseField="0" baseItem="0" numFmtId="10"/>
  </dataFields>
  <formats count="2"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D2F58C82-D769-4C2A-9DD2-728AE42A7E2C}" sourceName="Plan">
  <pivotTables>
    <pivotTable tabId="3" name="Tabela dinâmica2"/>
    <pivotTable tabId="3" name="Tabela dinâmica3"/>
    <pivotTable tabId="3" name="Tabela dinâmica4"/>
    <pivotTable tabId="3" name="Tabela dinâmica5"/>
    <pivotTable tabId="3" name="Tabela dinâmica7"/>
  </pivotTables>
  <data>
    <tabular pivotCacheId="1830684699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417DB51A-3B19-4A78-A09F-FD3A481C372C}" sourceName="Auto Renewal">
  <pivotTables>
    <pivotTable tabId="3" name="Tabela dinâmica2"/>
    <pivotTable tabId="3" name="Tabela dinâmica3"/>
    <pivotTable tabId="3" name="Tabela dinâmica4"/>
    <pivotTable tabId="3" name="Tabela dinâmica5"/>
    <pivotTable tabId="3" name="Tabela dinâmica7"/>
  </pivotTables>
  <data>
    <tabular pivotCacheId="1830684699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F809172-4222-43C1-A833-A35F14B567FA}" sourceName="Subscription Type">
  <pivotTables>
    <pivotTable tabId="3" name="Tabela dinâmica2"/>
    <pivotTable tabId="3" name="Tabela dinâmica3"/>
    <pivotTable tabId="3" name="Tabela dinâmica4"/>
    <pivotTable tabId="3" name="Tabela dinâmica5"/>
    <pivotTable tabId="3" name="Tabela dinâmica7"/>
  </pivotTables>
  <data>
    <tabular pivotCacheId="1830684699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2193B184-F7D2-46CB-B4E9-ABDD378A8524}" cache="SegmentaçãodeDados_Plan" caption="Plan" rowHeight="241300"/>
  <slicer name="Auto Renewal" xr10:uid="{B013853C-E06B-42E8-AC1E-80A23617582D}" cache="SegmentaçãodeDados_Auto_Renewal" caption="Auto Renewal" rowHeight="241300"/>
  <slicer name="Subscription Type" xr10:uid="{21D31576-E2A2-4930-A685-345A54783507}" cache="SegmentaçãodeDados_Subscription_Type" caption="Subscription Type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/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H21"/>
  <sheetViews>
    <sheetView showGridLines="0" zoomScaleNormal="100" workbookViewId="0">
      <selection activeCell="J9" sqref="J9"/>
    </sheetView>
  </sheetViews>
  <sheetFormatPr defaultRowHeight="14.25"/>
  <cols>
    <col min="9" max="9" width="3.625" customWidth="1"/>
  </cols>
  <sheetData>
    <row r="3" spans="2:8" ht="20.25" thickBot="1">
      <c r="B3" s="1" t="s">
        <v>0</v>
      </c>
      <c r="C3" s="1"/>
      <c r="D3" s="1"/>
      <c r="E3" s="1"/>
      <c r="F3" s="1"/>
      <c r="G3" s="1"/>
      <c r="H3" s="1"/>
    </row>
    <row r="4" spans="2:8" ht="15" thickTop="1"/>
    <row r="5" spans="2:8">
      <c r="B5" s="3" t="s">
        <v>2</v>
      </c>
      <c r="C5" t="s">
        <v>8</v>
      </c>
      <c r="E5" s="7" t="s">
        <v>6</v>
      </c>
      <c r="F5" t="s">
        <v>7</v>
      </c>
    </row>
    <row r="6" spans="2:8">
      <c r="B6" s="4" t="s">
        <v>3</v>
      </c>
      <c r="C6" t="s">
        <v>8</v>
      </c>
    </row>
    <row r="7" spans="2:8">
      <c r="B7" s="5" t="s">
        <v>4</v>
      </c>
      <c r="C7" t="s">
        <v>9</v>
      </c>
    </row>
    <row r="8" spans="2:8">
      <c r="B8" s="6" t="s">
        <v>5</v>
      </c>
      <c r="C8" t="s">
        <v>9</v>
      </c>
    </row>
    <row r="12" spans="2:8" ht="20.25" thickBot="1">
      <c r="B12" s="1" t="s">
        <v>1</v>
      </c>
      <c r="C12" s="1"/>
      <c r="D12" s="1"/>
      <c r="E12" s="1"/>
      <c r="F12" s="1"/>
      <c r="G12" s="1"/>
      <c r="H12" s="1"/>
    </row>
    <row r="13" spans="2:8" ht="15" thickTop="1">
      <c r="B13" s="2"/>
      <c r="C13" s="2"/>
      <c r="D13" s="2"/>
      <c r="E13" s="2"/>
      <c r="F13" s="2"/>
      <c r="G13" s="2"/>
      <c r="H13" s="2"/>
    </row>
    <row r="14" spans="2:8">
      <c r="B14" s="2"/>
      <c r="C14" s="2"/>
      <c r="D14" s="2"/>
      <c r="E14" s="2"/>
      <c r="F14" s="2"/>
      <c r="G14" s="2"/>
      <c r="H14" s="2"/>
    </row>
    <row r="15" spans="2:8">
      <c r="B15" s="2"/>
      <c r="C15" s="2"/>
      <c r="D15" s="2"/>
      <c r="E15" s="2"/>
      <c r="F15" s="2"/>
      <c r="G15" s="2"/>
      <c r="H15" s="2"/>
    </row>
    <row r="16" spans="2:8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78" zoomScale="90" zoomScaleNormal="90" workbookViewId="0">
      <selection activeCell="G280" sqref="G280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9" t="s">
        <v>32</v>
      </c>
    </row>
    <row r="2" spans="1:13" ht="16.5" customHeight="1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G37"/>
  <sheetViews>
    <sheetView showGridLines="0" workbookViewId="0">
      <selection activeCell="G32" sqref="G32"/>
    </sheetView>
  </sheetViews>
  <sheetFormatPr defaultRowHeight="14.25"/>
  <cols>
    <col min="3" max="3" width="18" bestFit="1" customWidth="1"/>
    <col min="4" max="4" width="25.75" bestFit="1" customWidth="1"/>
    <col min="5" max="5" width="16.125" bestFit="1" customWidth="1"/>
    <col min="6" max="6" width="18" bestFit="1" customWidth="1"/>
    <col min="7" max="7" width="25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4" spans="2:4" ht="15">
      <c r="B4" s="12" t="s">
        <v>312</v>
      </c>
    </row>
    <row r="6" spans="2:4" ht="15">
      <c r="B6" s="12" t="s">
        <v>313</v>
      </c>
    </row>
    <row r="8" spans="2:4" ht="15">
      <c r="B8" s="12" t="s">
        <v>314</v>
      </c>
    </row>
    <row r="10" spans="2:4" ht="15">
      <c r="B10" s="12" t="s">
        <v>315</v>
      </c>
    </row>
    <row r="12" spans="2:4" ht="15">
      <c r="B12" s="12" t="s">
        <v>316</v>
      </c>
    </row>
    <row r="15" spans="2:4">
      <c r="C15" t="s">
        <v>320</v>
      </c>
    </row>
    <row r="16" spans="2:4">
      <c r="C16" s="13" t="s">
        <v>317</v>
      </c>
      <c r="D16" t="s">
        <v>319</v>
      </c>
    </row>
    <row r="17" spans="3:7">
      <c r="C17" s="14" t="s">
        <v>21</v>
      </c>
      <c r="D17" s="15">
        <v>444</v>
      </c>
    </row>
    <row r="18" spans="3:7">
      <c r="C18" s="14" t="s">
        <v>25</v>
      </c>
      <c r="D18" s="15">
        <v>1801</v>
      </c>
    </row>
    <row r="19" spans="3:7">
      <c r="C19" s="14" t="s">
        <v>17</v>
      </c>
      <c r="D19" s="15">
        <v>5388</v>
      </c>
    </row>
    <row r="20" spans="3:7">
      <c r="C20" s="14" t="s">
        <v>318</v>
      </c>
      <c r="D20" s="15">
        <v>7633</v>
      </c>
    </row>
    <row r="22" spans="3:7">
      <c r="C22" t="s">
        <v>321</v>
      </c>
      <c r="F22" t="s">
        <v>330</v>
      </c>
    </row>
    <row r="23" spans="3:7">
      <c r="C23" s="13" t="s">
        <v>317</v>
      </c>
      <c r="D23" t="s">
        <v>329</v>
      </c>
      <c r="F23" s="13" t="s">
        <v>317</v>
      </c>
      <c r="G23" t="s">
        <v>329</v>
      </c>
    </row>
    <row r="24" spans="3:7">
      <c r="C24" s="14" t="s">
        <v>23</v>
      </c>
      <c r="D24" s="15">
        <v>71</v>
      </c>
      <c r="F24" s="14" t="s">
        <v>23</v>
      </c>
      <c r="G24" s="16">
        <v>0.24067796610169492</v>
      </c>
    </row>
    <row r="25" spans="3:7">
      <c r="C25" s="14" t="s">
        <v>19</v>
      </c>
      <c r="D25" s="15">
        <v>139</v>
      </c>
      <c r="F25" s="14" t="s">
        <v>19</v>
      </c>
      <c r="G25" s="16">
        <v>0.47118644067796611</v>
      </c>
    </row>
    <row r="26" spans="3:7">
      <c r="C26" s="14" t="s">
        <v>26</v>
      </c>
      <c r="D26" s="15">
        <v>85</v>
      </c>
      <c r="F26" s="14" t="s">
        <v>26</v>
      </c>
      <c r="G26" s="16">
        <v>0.28813559322033899</v>
      </c>
    </row>
    <row r="27" spans="3:7">
      <c r="C27" s="14" t="s">
        <v>318</v>
      </c>
      <c r="D27" s="15">
        <v>295</v>
      </c>
      <c r="F27" s="14" t="s">
        <v>318</v>
      </c>
      <c r="G27" s="16">
        <v>1</v>
      </c>
    </row>
    <row r="29" spans="3:7">
      <c r="C29" t="s">
        <v>322</v>
      </c>
    </row>
    <row r="30" spans="3:7">
      <c r="C30" t="s">
        <v>323</v>
      </c>
      <c r="D30" t="s">
        <v>324</v>
      </c>
      <c r="E30" t="s">
        <v>327</v>
      </c>
    </row>
    <row r="31" spans="3:7">
      <c r="C31" s="15">
        <v>295</v>
      </c>
      <c r="D31" s="17">
        <v>3880</v>
      </c>
      <c r="E31" s="16">
        <v>7.6597324663074126E-3</v>
      </c>
    </row>
    <row r="32" spans="3:7">
      <c r="C32">
        <f>GETPIVOTDATA("Contagem de EA Play Season Pass
Price",$C$30)</f>
        <v>295</v>
      </c>
      <c r="D32" s="17">
        <f>GETPIVOTDATA("Soma de Minecraft Season Pass Price",$C$30)</f>
        <v>3880</v>
      </c>
    </row>
    <row r="34" spans="3:3">
      <c r="C34" t="s">
        <v>325</v>
      </c>
    </row>
    <row r="35" spans="3:3">
      <c r="C35" t="s">
        <v>326</v>
      </c>
    </row>
    <row r="36" spans="3:3">
      <c r="C36" s="17">
        <v>2122</v>
      </c>
    </row>
    <row r="37" spans="3:3">
      <c r="C37" s="17">
        <f>GETPIVOTDATA("Coupon Value",$C$35)</f>
        <v>2122</v>
      </c>
    </row>
  </sheetData>
  <pageMargins left="0.511811024" right="0.511811024" top="0.78740157499999996" bottom="0.78740157499999996" header="0.31496062000000002" footer="0.31496062000000002"/>
  <pageSetup paperSize="9" orientation="portrait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N51"/>
  <sheetViews>
    <sheetView showGridLines="0" tabSelected="1" zoomScale="80" zoomScaleNormal="80" workbookViewId="0">
      <selection activeCell="H21" sqref="H21"/>
    </sheetView>
  </sheetViews>
  <sheetFormatPr defaultRowHeight="14.25"/>
  <cols>
    <col min="1" max="1" width="20" customWidth="1"/>
    <col min="2" max="2" width="3.625" customWidth="1"/>
    <col min="3" max="3" width="18.375" bestFit="1" customWidth="1"/>
    <col min="4" max="4" width="28.125" bestFit="1" customWidth="1"/>
    <col min="12" max="12" width="6.625" customWidth="1"/>
  </cols>
  <sheetData>
    <row r="1" spans="1:14" ht="30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33">
      <c r="A2" s="7"/>
      <c r="B2" s="7"/>
      <c r="C2" s="7"/>
      <c r="D2" s="18" t="s">
        <v>328</v>
      </c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7.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10.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9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51" spans="6:6">
      <c r="F51" s="19"/>
    </row>
  </sheetData>
  <mergeCells count="1">
    <mergeCell ref="D2:N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www.w3.org/XML/1998/namespace"/>
    <ds:schemaRef ds:uri="http://schemas.microsoft.com/office/2006/documentManagement/types"/>
    <ds:schemaRef ds:uri="851b35d3-0456-4d6a-bc2f-da927e91d158"/>
    <ds:schemaRef ds:uri="http://schemas.microsoft.com/office/2006/metadata/properties"/>
    <ds:schemaRef ds:uri="http://purl.org/dc/dcmitype/"/>
    <ds:schemaRef ds:uri="19483571-f922-4e8e-9c1c-26f0a2252132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JD-VAIO</cp:lastModifiedBy>
  <dcterms:created xsi:type="dcterms:W3CDTF">2024-12-19T13:13:10Z</dcterms:created>
  <dcterms:modified xsi:type="dcterms:W3CDTF">2026-04-01T17:15:11Z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